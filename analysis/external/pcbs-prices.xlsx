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dan\Desktop\HDX\"/>
    </mc:Choice>
  </mc:AlternateContent>
  <xr:revisionPtr revIDLastSave="0" documentId="13_ncr:1_{8DBD0F57-4F7F-410B-ABCD-658B6D481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odity 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Y46" i="1" l="1"/>
  <c r="BY47" i="1"/>
  <c r="BY48" i="1"/>
  <c r="BY45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3" i="1"/>
  <c r="BX48" i="1" l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BX5" i="1"/>
  <c r="BX4" i="1"/>
  <c r="BX3" i="1"/>
  <c r="BV48" i="1" l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V5" i="1"/>
  <c r="BV4" i="1"/>
  <c r="BV3" i="1"/>
  <c r="BT48" i="1" l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/>
  <c r="BT4" i="1"/>
  <c r="BT3" i="1"/>
  <c r="BR48" i="1" l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R5" i="1"/>
  <c r="BR4" i="1"/>
  <c r="BR3" i="1"/>
  <c r="BP48" i="1" l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N3" i="1" l="1"/>
  <c r="BN48" i="1" l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N4" i="1"/>
  <c r="BL4" i="1" l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3" i="1"/>
  <c r="BJ48" i="1" l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H48" i="1" l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BF48" i="1" l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BD48" i="1" l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D3" i="1"/>
  <c r="BB5" i="1" l="1"/>
  <c r="BB12" i="1"/>
  <c r="BB15" i="1"/>
  <c r="BB16" i="1"/>
  <c r="BB17" i="1"/>
  <c r="BB18" i="1"/>
  <c r="BB19" i="1"/>
  <c r="BB20" i="1"/>
  <c r="BB21" i="1"/>
  <c r="BB22" i="1"/>
  <c r="BB23" i="1"/>
  <c r="BB26" i="1"/>
  <c r="BB27" i="1"/>
  <c r="BB36" i="1"/>
  <c r="BB37" i="1"/>
  <c r="BB38" i="1"/>
  <c r="BB39" i="1"/>
  <c r="BB40" i="1"/>
  <c r="BB41" i="1"/>
  <c r="BB42" i="1"/>
  <c r="BB43" i="1"/>
  <c r="BB44" i="1"/>
  <c r="BB45" i="1"/>
  <c r="BB46" i="1"/>
  <c r="BB3" i="1"/>
  <c r="BB48" i="1"/>
  <c r="BB47" i="1"/>
  <c r="BB35" i="1"/>
  <c r="BB34" i="1"/>
  <c r="BB33" i="1"/>
  <c r="BB32" i="1"/>
  <c r="BB31" i="1"/>
  <c r="BB30" i="1"/>
  <c r="BB29" i="1"/>
  <c r="BB28" i="1"/>
  <c r="BB25" i="1"/>
  <c r="BB24" i="1"/>
  <c r="BB14" i="1"/>
  <c r="BB13" i="1"/>
  <c r="BB11" i="1"/>
  <c r="BB10" i="1"/>
  <c r="BB9" i="1"/>
  <c r="BB8" i="1"/>
  <c r="BB7" i="1"/>
  <c r="BB6" i="1"/>
  <c r="BB4" i="1"/>
  <c r="AZ5" i="1" l="1"/>
  <c r="AZ3" i="1"/>
  <c r="AZ14" i="1"/>
  <c r="AZ15" i="1"/>
  <c r="AZ16" i="1"/>
  <c r="AZ17" i="1"/>
  <c r="AZ19" i="1"/>
  <c r="AZ20" i="1"/>
  <c r="AZ21" i="1"/>
  <c r="AZ22" i="1"/>
  <c r="AZ23" i="1"/>
  <c r="AZ25" i="1"/>
  <c r="AZ26" i="1"/>
  <c r="AZ27" i="1"/>
  <c r="AZ37" i="1"/>
  <c r="AZ38" i="1"/>
  <c r="AZ39" i="1"/>
  <c r="AZ40" i="1"/>
  <c r="AZ41" i="1"/>
  <c r="AZ42" i="1"/>
  <c r="AZ43" i="1"/>
  <c r="AZ44" i="1"/>
  <c r="AZ45" i="1"/>
  <c r="AZ46" i="1"/>
  <c r="AZ48" i="1"/>
  <c r="AZ47" i="1"/>
  <c r="AZ36" i="1"/>
  <c r="AZ35" i="1"/>
  <c r="AZ34" i="1"/>
  <c r="AZ33" i="1"/>
  <c r="AZ32" i="1"/>
  <c r="AZ31" i="1"/>
  <c r="AZ30" i="1"/>
  <c r="AZ29" i="1"/>
  <c r="AZ28" i="1"/>
  <c r="AZ24" i="1"/>
  <c r="AZ18" i="1"/>
  <c r="AZ13" i="1"/>
  <c r="AZ12" i="1"/>
  <c r="AZ11" i="1"/>
  <c r="AZ10" i="1"/>
  <c r="AZ9" i="1"/>
  <c r="AZ8" i="1"/>
  <c r="AZ7" i="1"/>
  <c r="AZ6" i="1"/>
  <c r="AZ4" i="1"/>
  <c r="AX48" i="1" l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V48" i="1" l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T48" i="1" l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R5" i="1" l="1"/>
  <c r="AR4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3" i="1"/>
  <c r="AP48" i="1" l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N48" i="1" l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L48" i="1" l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J48" i="1" l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H5" i="1" l="1"/>
  <c r="AH19" i="1"/>
  <c r="AH35" i="1"/>
  <c r="AH39" i="1"/>
  <c r="AH41" i="1"/>
  <c r="AH42" i="1"/>
  <c r="AH43" i="1"/>
  <c r="AH44" i="1"/>
  <c r="AH3" i="1"/>
  <c r="AH48" i="1"/>
  <c r="AH47" i="1"/>
  <c r="AH46" i="1"/>
  <c r="AH45" i="1"/>
  <c r="AH40" i="1"/>
  <c r="AH38" i="1"/>
  <c r="AH37" i="1"/>
  <c r="AH36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4" i="1"/>
  <c r="AF26" i="1" l="1"/>
  <c r="AF27" i="1"/>
  <c r="AF5" i="1"/>
  <c r="AF6" i="1"/>
  <c r="AF7" i="1"/>
  <c r="AF14" i="1"/>
  <c r="AF15" i="1"/>
  <c r="AF22" i="1"/>
  <c r="AF23" i="1"/>
  <c r="AF30" i="1"/>
  <c r="AF31" i="1"/>
  <c r="AF38" i="1"/>
  <c r="AF39" i="1"/>
  <c r="AF3" i="1"/>
  <c r="AF19" i="1" l="1"/>
  <c r="AF18" i="1"/>
  <c r="AF43" i="1"/>
  <c r="AF11" i="1"/>
  <c r="AF42" i="1"/>
  <c r="AF10" i="1"/>
  <c r="AF35" i="1"/>
  <c r="AF34" i="1"/>
  <c r="AF45" i="1"/>
  <c r="AF37" i="1"/>
  <c r="AF29" i="1"/>
  <c r="AF21" i="1"/>
  <c r="AF13" i="1"/>
  <c r="AF44" i="1"/>
  <c r="AF36" i="1"/>
  <c r="AF28" i="1"/>
  <c r="AF20" i="1"/>
  <c r="AF12" i="1"/>
  <c r="AF4" i="1"/>
  <c r="AF41" i="1"/>
  <c r="AF33" i="1"/>
  <c r="AF25" i="1"/>
  <c r="AF17" i="1"/>
  <c r="AF9" i="1"/>
  <c r="AF48" i="1"/>
  <c r="AF40" i="1"/>
  <c r="AF32" i="1"/>
  <c r="AF24" i="1"/>
  <c r="AF16" i="1"/>
  <c r="AF8" i="1"/>
  <c r="AF47" i="1"/>
  <c r="AF46" i="1"/>
  <c r="AD46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7" i="1"/>
  <c r="AD48" i="1"/>
  <c r="AD3" i="1"/>
  <c r="Z45" i="1" l="1"/>
  <c r="Z46" i="1"/>
  <c r="Z47" i="1"/>
  <c r="Z48" i="1"/>
  <c r="X45" i="1"/>
  <c r="X46" i="1"/>
  <c r="X47" i="1"/>
  <c r="X48" i="1"/>
  <c r="V45" i="1"/>
  <c r="V46" i="1"/>
  <c r="V47" i="1"/>
  <c r="V48" i="1"/>
  <c r="T45" i="1"/>
  <c r="T46" i="1"/>
  <c r="T47" i="1"/>
  <c r="T48" i="1"/>
  <c r="R45" i="1"/>
  <c r="R46" i="1"/>
  <c r="R47" i="1"/>
  <c r="R48" i="1"/>
  <c r="P45" i="1"/>
  <c r="P46" i="1"/>
  <c r="P47" i="1"/>
  <c r="P48" i="1"/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3" i="1"/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3" i="1"/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V3" i="1"/>
  <c r="T3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3" i="1"/>
  <c r="L42" i="1" l="1"/>
  <c r="L43" i="1"/>
  <c r="L44" i="1"/>
  <c r="J42" i="1"/>
  <c r="J43" i="1"/>
  <c r="J44" i="1"/>
  <c r="H42" i="1"/>
  <c r="H43" i="1"/>
  <c r="H44" i="1"/>
  <c r="L41" i="1" l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3" i="1"/>
</calcChain>
</file>

<file path=xl/sharedStrings.xml><?xml version="1.0" encoding="utf-8"?>
<sst xmlns="http://schemas.openxmlformats.org/spreadsheetml/2006/main" count="268" uniqueCount="223">
  <si>
    <t>أرز حبة طويلة الياسمين تايلند - 1 كغم</t>
  </si>
  <si>
    <t>1 كغم</t>
  </si>
  <si>
    <t>rice (1 kg)</t>
  </si>
  <si>
    <t>طحين أبيض - مطاحن السلام - محلي</t>
  </si>
  <si>
    <t>50 كغم</t>
  </si>
  <si>
    <t>flour (50 kg)</t>
  </si>
  <si>
    <t>خبز ابيض كماج- محلي</t>
  </si>
  <si>
    <t>bread (3 kg)</t>
  </si>
  <si>
    <t>دجاج طازج دون الريش - محلي</t>
  </si>
  <si>
    <t>chickens (1 kg)</t>
  </si>
  <si>
    <t>بيض دجاج أبيض - محلي</t>
  </si>
  <si>
    <t>كرتونة / 2 كغم</t>
  </si>
  <si>
    <t>eggs (2 kg)</t>
  </si>
  <si>
    <t>زيت الصافي - زيت ذرة</t>
  </si>
  <si>
    <t>علبة /3لتر</t>
  </si>
  <si>
    <t>oil (3 liter)</t>
  </si>
  <si>
    <t>ليمون اصفر-محلي</t>
  </si>
  <si>
    <t>1كغم</t>
  </si>
  <si>
    <t>lemons (1 kg)</t>
  </si>
  <si>
    <t>تفاح احمر-اسرائيل</t>
  </si>
  <si>
    <t>apples (1 kg)</t>
  </si>
  <si>
    <t>بندوره  عناقيد حب كبير - محلي</t>
  </si>
  <si>
    <t>tomatoes (1 kg)</t>
  </si>
  <si>
    <t>كوسا للمحاشي صغير الحجم - محلي</t>
  </si>
  <si>
    <t>zucchinis (1 kg)</t>
  </si>
  <si>
    <t>باذنجان عجمي كبير الحجم - محلي</t>
  </si>
  <si>
    <t>eggplants (1 kg)</t>
  </si>
  <si>
    <t>فلفل اخضر حار -محلي</t>
  </si>
  <si>
    <t>chili pepper  (1 kg)</t>
  </si>
  <si>
    <t>فليفلة خضراء حلوة- محلي</t>
  </si>
  <si>
    <t>bell pepper  (1 kg)</t>
  </si>
  <si>
    <t>خيار حماموت -محلي</t>
  </si>
  <si>
    <t>cucumbers (1 kg)</t>
  </si>
  <si>
    <t>بصل ناشف بلدي-محلي</t>
  </si>
  <si>
    <t>dry onions  (1 kg)</t>
  </si>
  <si>
    <t>بطاطا حبة متوسطة الحجم - محلي</t>
  </si>
  <si>
    <t>potato (1 kg)</t>
  </si>
  <si>
    <t>مياه معدنية - سكاي - محلي - غزة  عبوة 1.5 لتر</t>
  </si>
  <si>
    <t>عبوة/1.5 لتر</t>
  </si>
  <si>
    <t>mineral water bottle (1.5 liters)</t>
  </si>
  <si>
    <t>بنزين 95 بدون رصاص - اسرائيل</t>
  </si>
  <si>
    <t>1 لتر</t>
  </si>
  <si>
    <t>gasoline (1 liter)</t>
  </si>
  <si>
    <t>سولار - اسرائيل</t>
  </si>
  <si>
    <t xml:space="preserve">diesel (1 liter) </t>
  </si>
  <si>
    <t>اجرة راكب من شمال غزة الى وسط غزة - بسبب الحرب</t>
  </si>
  <si>
    <t>سفرة</t>
  </si>
  <si>
    <t>passenger travel expenses (north to the center ) (one travel )</t>
  </si>
  <si>
    <t>ارجرة راكب من شمال غزة الى جنوب غزة - بسبب الحرب</t>
  </si>
  <si>
    <t>passenger travel expenses (north to the south ) (one travel )</t>
  </si>
  <si>
    <t>بسكويت العريس</t>
  </si>
  <si>
    <t>برغل مجروش - ناعم سائب "حلل" - محلي</t>
  </si>
  <si>
    <t>فريكة ناشفة مجروشة "حلل" - محلي</t>
  </si>
  <si>
    <t xml:space="preserve">1 كغم </t>
  </si>
  <si>
    <t>لحم عجل طازج - محلي</t>
  </si>
  <si>
    <t>لحم غنم مع العظم طازج -محلي</t>
  </si>
  <si>
    <t>حليب مجفف للأطفال برو جولد S26 PRO GOLD ايرلندا</t>
  </si>
  <si>
    <t>علبة / 400 غم</t>
  </si>
  <si>
    <t>جبنة مثلثات - لافاش كيري - مصر</t>
  </si>
  <si>
    <t>علبة - 200 غم - 12 قطعة</t>
  </si>
  <si>
    <t>سكر ابيض نقي</t>
  </si>
  <si>
    <t>كروز / 10 باكيت / 10 كغم</t>
  </si>
  <si>
    <t>ملح طعام ابيض سليت - Finest Table Salt</t>
  </si>
  <si>
    <t>باكيت / 1 كغم</t>
  </si>
  <si>
    <t>خميرة بيضاء مفرغة من الهواء باكمايا أو انجل</t>
  </si>
  <si>
    <t xml:space="preserve">باكيت / 450 غم </t>
  </si>
  <si>
    <t xml:space="preserve">قهوة مطحونة </t>
  </si>
  <si>
    <t>فاصوليا بيونير بيضاء مطبوخة معلبة 570 غم</t>
  </si>
  <si>
    <t>علبة 570 غم</t>
  </si>
  <si>
    <t>فول مصري مدمس هارفيست</t>
  </si>
  <si>
    <t>علبة/380غم</t>
  </si>
  <si>
    <t>عدس أحمر مجروش - تركيا</t>
  </si>
  <si>
    <t>رب بندورة بايونير 560 غم</t>
  </si>
  <si>
    <t>560 غم</t>
  </si>
  <si>
    <t>سجائر مارلبورو - مصري</t>
  </si>
  <si>
    <t>علبة 20 سيجارة</t>
  </si>
  <si>
    <t>سجائر أل - ام - مصري</t>
  </si>
  <si>
    <t>اسطوانة غاز معبئة محلياً واصل للمنزل</t>
  </si>
  <si>
    <t>اسطوانة /12كغم</t>
  </si>
  <si>
    <t>biscuits (1 kg)</t>
  </si>
  <si>
    <t>Crushed bulgur (1 kg)</t>
  </si>
  <si>
    <t>Crushed dry freekeh (1 kg)</t>
  </si>
  <si>
    <t>Fresh Veal (1 kg)</t>
  </si>
  <si>
    <t>Fresh Lamb With Bone (1 kg)</t>
  </si>
  <si>
    <t>Baby Milk Powder  (400 gm)</t>
  </si>
  <si>
    <t>White Table Salt  (1 kg)</t>
  </si>
  <si>
    <t>Pure white sugar (10 kg)</t>
  </si>
  <si>
    <t>Cheese (200 gm)</t>
  </si>
  <si>
    <t>white yeast (450 gm)</t>
  </si>
  <si>
    <t>Ground coffee (1 kg)</t>
  </si>
  <si>
    <t>White Canned Cooked Beans (570 gm)</t>
  </si>
  <si>
    <t>Egyptian beans medames (380 gm)</t>
  </si>
  <si>
    <t>crushed red lentils (1 kg)</t>
  </si>
  <si>
    <t>Tomato Paste (560 gm)</t>
  </si>
  <si>
    <t>Marlboro Cigarettes (20)</t>
  </si>
  <si>
    <t>L-M cigarettes (20)</t>
  </si>
  <si>
    <t>Gas Cylinder (12 kg)</t>
  </si>
  <si>
    <t>Monthly Percent Change % (Nov.-Oct.)</t>
  </si>
  <si>
    <t>commodity name (arabic)</t>
  </si>
  <si>
    <t>amount (arabic)</t>
  </si>
  <si>
    <t>commodity name (english)</t>
  </si>
  <si>
    <t>amount (english)</t>
  </si>
  <si>
    <t>average price before 7 October 2023</t>
  </si>
  <si>
    <t>average price after 7 October 2023</t>
  </si>
  <si>
    <t>1 kg</t>
  </si>
  <si>
    <t>50 kg</t>
  </si>
  <si>
    <t>3 kg</t>
  </si>
  <si>
    <t>2 kg</t>
  </si>
  <si>
    <t>3 liters</t>
  </si>
  <si>
    <t>1.5 liters</t>
  </si>
  <si>
    <t>1 liter</t>
  </si>
  <si>
    <t>one way per person</t>
  </si>
  <si>
    <t>400 gm</t>
  </si>
  <si>
    <t>200 gm</t>
  </si>
  <si>
    <t>10 kg</t>
  </si>
  <si>
    <t>450gm</t>
  </si>
  <si>
    <t>570 gm</t>
  </si>
  <si>
    <t>380 gm</t>
  </si>
  <si>
    <t>560 gm</t>
  </si>
  <si>
    <t>20 pack</t>
  </si>
  <si>
    <t>12 kg</t>
  </si>
  <si>
    <t>Acumulative change</t>
  </si>
  <si>
    <t>مياه صالحة للشرب موزعة باستخدام الصهاريج (ربع كوب)</t>
  </si>
  <si>
    <t>ربع كوب (250 لتر)</t>
  </si>
  <si>
    <t>مياه صالحة للشرب موزعة باستخدام الصهاريج (نصف كوب)</t>
  </si>
  <si>
    <t>نصف كوب (500 لتر)</t>
  </si>
  <si>
    <t>مياه صالحة للشرب موزعة باستخدام الصهاريج (كوب)</t>
  </si>
  <si>
    <t>كوب (1000 لتر)</t>
  </si>
  <si>
    <t>Potable water distributed using tankers  (500 litres)</t>
  </si>
  <si>
    <t>Potable water distributed using tankers  (1000 litres)</t>
  </si>
  <si>
    <t>Potable water distributed using tankers (250 litres)</t>
  </si>
  <si>
    <t>(250 litres)</t>
  </si>
  <si>
    <t>(500 litres)</t>
  </si>
  <si>
    <t>(1000 litres)</t>
  </si>
  <si>
    <t>Monthly Percent Change % (Oct-Sep)</t>
  </si>
  <si>
    <t>Monthly Percent Change % (Nov-Dec)</t>
  </si>
  <si>
    <t>011100102</t>
  </si>
  <si>
    <t>011100206</t>
  </si>
  <si>
    <t>011100301</t>
  </si>
  <si>
    <t>011220102</t>
  </si>
  <si>
    <t>011430001</t>
  </si>
  <si>
    <t>011510203</t>
  </si>
  <si>
    <t>011610201</t>
  </si>
  <si>
    <t>011610701</t>
  </si>
  <si>
    <t>011710101</t>
  </si>
  <si>
    <t>011710201</t>
  </si>
  <si>
    <t>011710301</t>
  </si>
  <si>
    <t>011711001</t>
  </si>
  <si>
    <t>011711002</t>
  </si>
  <si>
    <t>011711402</t>
  </si>
  <si>
    <t>011730201</t>
  </si>
  <si>
    <t>011750101</t>
  </si>
  <si>
    <t>012200102</t>
  </si>
  <si>
    <t>072200102</t>
  </si>
  <si>
    <t>072200104</t>
  </si>
  <si>
    <t>073200122</t>
  </si>
  <si>
    <t>073200123</t>
  </si>
  <si>
    <t>011100812</t>
  </si>
  <si>
    <t>011101201</t>
  </si>
  <si>
    <t>011101301</t>
  </si>
  <si>
    <t>011210102</t>
  </si>
  <si>
    <t>011210101</t>
  </si>
  <si>
    <t>011410303</t>
  </si>
  <si>
    <t>011420305</t>
  </si>
  <si>
    <t>011800105</t>
  </si>
  <si>
    <t>011920101</t>
  </si>
  <si>
    <t>011931002</t>
  </si>
  <si>
    <t>012120201</t>
  </si>
  <si>
    <t>011760202</t>
  </si>
  <si>
    <t>011770102</t>
  </si>
  <si>
    <t>011740201</t>
  </si>
  <si>
    <t>011760404</t>
  </si>
  <si>
    <t>022010207</t>
  </si>
  <si>
    <t>022010209</t>
  </si>
  <si>
    <t>045200101</t>
  </si>
  <si>
    <t>044100106</t>
  </si>
  <si>
    <t>044100107</t>
  </si>
  <si>
    <t>044100108</t>
  </si>
  <si>
    <t>Monthly Percent Change % (Dec-Jan)</t>
  </si>
  <si>
    <t>Monthly Percent Change % (Jan-Feb)</t>
  </si>
  <si>
    <t>Monthly Percent Change % (Feb-Mar)</t>
  </si>
  <si>
    <t>Monthly Percent Change % (Mar-Apr)</t>
  </si>
  <si>
    <t>Monthly Percent Change % (Apr-May)</t>
  </si>
  <si>
    <t>Monthly Percent Change % (May-June)</t>
  </si>
  <si>
    <t>Monthly Percent Change % (June-July)</t>
  </si>
  <si>
    <t>Monthly Percent Change % (July-August)</t>
  </si>
  <si>
    <t>011100109</t>
  </si>
  <si>
    <t>ارز مصري 1 كغم</t>
  </si>
  <si>
    <t>011100110</t>
  </si>
  <si>
    <t>ارز بسمتي 1 كغم</t>
  </si>
  <si>
    <t>011100211</t>
  </si>
  <si>
    <t>طحين مصري 25 كغم</t>
  </si>
  <si>
    <t>25 كغم</t>
  </si>
  <si>
    <t>011100212</t>
  </si>
  <si>
    <t>طحين مصري 50 كغم</t>
  </si>
  <si>
    <t>Egyptian - rice (1 kg)</t>
  </si>
  <si>
    <t>Basmati - rice (1 kg)</t>
  </si>
  <si>
    <t>Egyptian - flour (50 kg)</t>
  </si>
  <si>
    <t>Egyptian - flour (25 kg)</t>
  </si>
  <si>
    <t>Monthly Percent Change % (August-September)</t>
  </si>
  <si>
    <t>Monthly Percent Change % (September- October)</t>
  </si>
  <si>
    <t>Monthly Percent Change % (October - November)</t>
  </si>
  <si>
    <t>Monthly Percent Change % (November - December)</t>
  </si>
  <si>
    <t>Monthly Percent Change % ( December2024 - January 2025)</t>
  </si>
  <si>
    <t>Monthly Percent Change % ( January - February 2025)</t>
  </si>
  <si>
    <t>Monthly Percent Change % (February - March 2025)</t>
  </si>
  <si>
    <t>Monthly Percent Change % (March - April 2025)</t>
  </si>
  <si>
    <t>Monthly Percent Change % (April - May 2025)</t>
  </si>
  <si>
    <t>Monthly Percent Change % (May - June 2025)</t>
  </si>
  <si>
    <t>Monthly Percent Change % (June - July 2025)</t>
  </si>
  <si>
    <t>Monthly Percent Change % (July - August 2025)</t>
  </si>
  <si>
    <t>Monthly Percent Change % (August - September 2025)</t>
  </si>
  <si>
    <t>Monthly Percent Change % (September - October 2025)</t>
  </si>
  <si>
    <t>Monthly Percent Change % (October - November 2025)</t>
  </si>
  <si>
    <t>Monthly Percent Change % (November - December 2025)</t>
  </si>
  <si>
    <t>Monthly Percent Change % ( December 2025 - January 2026)</t>
  </si>
  <si>
    <t>Monthly Percent Change % (January 2026 - February 2026)</t>
  </si>
  <si>
    <t>Monthly Percent Change % (February 2026 - March 2026)</t>
  </si>
  <si>
    <t>Monthly Percent Change % (March - April 2026)</t>
  </si>
  <si>
    <t>Monthly Percent Change % (April - May 2026)</t>
  </si>
  <si>
    <t>Monthly Percent Change % (May - June 2026)</t>
  </si>
  <si>
    <t>Monthly Percent Change % (June - July 2026)</t>
  </si>
  <si>
    <t>Monthly Percent Change % (July - August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</si>
</sst>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#,##0.00\-;_-* &quot;-&quot;??_-;_-@_-"/>
  </numFmts>
  <fonts count="4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/>
    </xf>
    <xf numFmtId="0" fontId="1" fillId="0" borderId="0" xfId="0" applyFont="1"/>
    <xf numFmtId="2" fontId="1" fillId="2" borderId="0" xfId="0" applyNumberFormat="1" applyFont="1" applyFill="1"/>
    <xf numFmtId="10" fontId="1" fillId="0" borderId="0" xfId="1" applyNumberFormat="1" applyFont="1" applyFill="1"/>
    <xf numFmtId="10" fontId="1" fillId="0" borderId="0" xfId="1" applyNumberFormat="1" applyFont="1"/>
    <xf numFmtId="0" fontId="3" fillId="0" borderId="0" xfId="0" applyFont="1" applyAlignment="1">
      <alignment horizontal="left" vertical="center" readingOrder="1"/>
    </xf>
    <xf numFmtId="2" fontId="1" fillId="3" borderId="0" xfId="0" applyNumberFormat="1" applyFont="1" applyFill="1"/>
    <xf numFmtId="164" fontId="1" fillId="2" borderId="0" xfId="2" applyFont="1" applyFill="1"/>
    <xf numFmtId="164" fontId="1" fillId="4" borderId="0" xfId="2" applyFont="1" applyFill="1"/>
    <xf numFmtId="164" fontId="1" fillId="0" borderId="0" xfId="2" applyFont="1" applyFill="1"/>
    <xf numFmtId="0" fontId="1" fillId="5" borderId="0" xfId="0" applyFont="1" applyFill="1"/>
    <xf numFmtId="0" fontId="1" fillId="6" borderId="0" xfId="0" applyFont="1" applyFill="1"/>
    <xf numFmtId="9" fontId="1" fillId="6" borderId="0" xfId="1" applyFont="1" applyFill="1"/>
    <xf numFmtId="2" fontId="1" fillId="0" borderId="0" xfId="1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Y48"/>
  <sheetViews>
    <sheetView tabSelected="1" workbookViewId="0">
      <pane xSplit="4" ySplit="2" topLeftCell="BR3" activePane="bottomRight" state="frozen"/>
      <selection pane="topRight" activeCell="E1" sqref="E1"/>
      <selection pane="bottomLeft" activeCell="A3" sqref="A3"/>
      <selection pane="bottomRight" activeCell="D11" sqref="D11"/>
    </sheetView>
  </sheetViews>
  <sheetFormatPr defaultColWidth="8.85546875" defaultRowHeight="15.75" x14ac:dyDescent="0.25"/>
  <cols>
    <col min="1" max="1" width="16.28515625" style="5" customWidth="1"/>
    <col min="2" max="2" width="28.42578125" style="5" customWidth="1"/>
    <col min="3" max="3" width="13.140625" style="5" customWidth="1"/>
    <col min="4" max="4" width="41.5703125" style="5" customWidth="1"/>
    <col min="5" max="5" width="17.42578125" style="5" bestFit="1" customWidth="1"/>
    <col min="6" max="6" width="18.5703125" style="5" customWidth="1"/>
    <col min="7" max="7" width="20.42578125" style="5" customWidth="1"/>
    <col min="8" max="8" width="19.42578125" style="5" customWidth="1"/>
    <col min="9" max="9" width="12.42578125" style="5" customWidth="1"/>
    <col min="10" max="10" width="19.140625" style="5" customWidth="1"/>
    <col min="11" max="11" width="18.42578125" style="5" customWidth="1"/>
    <col min="12" max="76" width="20.85546875" style="5" customWidth="1"/>
    <col min="77" max="77" width="20.42578125" style="5" customWidth="1"/>
    <col min="78" max="16384" width="8.85546875" style="5"/>
  </cols>
  <sheetData>
    <row r="2" spans="1:77" s="1" customFormat="1" ht="63" x14ac:dyDescent="0.25"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134</v>
      </c>
      <c r="I2" s="3">
        <v>45231</v>
      </c>
      <c r="J2" s="2" t="s">
        <v>97</v>
      </c>
      <c r="K2" s="4">
        <v>45261</v>
      </c>
      <c r="L2" s="2" t="s">
        <v>135</v>
      </c>
      <c r="M2" s="3">
        <v>45292</v>
      </c>
      <c r="N2" s="2" t="s">
        <v>178</v>
      </c>
      <c r="O2" s="3">
        <v>45323</v>
      </c>
      <c r="P2" s="2" t="s">
        <v>179</v>
      </c>
      <c r="Q2" s="3">
        <v>45352</v>
      </c>
      <c r="R2" s="2" t="s">
        <v>180</v>
      </c>
      <c r="S2" s="3">
        <v>45383</v>
      </c>
      <c r="T2" s="2" t="s">
        <v>181</v>
      </c>
      <c r="U2" s="3">
        <v>45413</v>
      </c>
      <c r="V2" s="2" t="s">
        <v>182</v>
      </c>
      <c r="W2" s="3">
        <v>45444</v>
      </c>
      <c r="X2" s="2" t="s">
        <v>183</v>
      </c>
      <c r="Y2" s="3">
        <v>45474</v>
      </c>
      <c r="Z2" s="2" t="s">
        <v>184</v>
      </c>
      <c r="AA2" s="3">
        <v>45505</v>
      </c>
      <c r="AB2" s="2" t="s">
        <v>185</v>
      </c>
      <c r="AC2" s="3">
        <v>45536</v>
      </c>
      <c r="AD2" s="2" t="s">
        <v>199</v>
      </c>
      <c r="AE2" s="3">
        <v>45566</v>
      </c>
      <c r="AF2" s="2" t="s">
        <v>200</v>
      </c>
      <c r="AG2" s="3">
        <v>45597</v>
      </c>
      <c r="AH2" s="2" t="s">
        <v>201</v>
      </c>
      <c r="AI2" s="3">
        <v>45627</v>
      </c>
      <c r="AJ2" s="2" t="s">
        <v>202</v>
      </c>
      <c r="AK2" s="3">
        <v>45658</v>
      </c>
      <c r="AL2" s="2" t="s">
        <v>203</v>
      </c>
      <c r="AM2" s="3">
        <v>45689</v>
      </c>
      <c r="AN2" s="2" t="s">
        <v>204</v>
      </c>
      <c r="AO2" s="3">
        <v>45717</v>
      </c>
      <c r="AP2" s="2" t="s">
        <v>205</v>
      </c>
      <c r="AQ2" s="3">
        <v>45748</v>
      </c>
      <c r="AR2" s="2" t="s">
        <v>206</v>
      </c>
      <c r="AS2" s="3">
        <v>45778</v>
      </c>
      <c r="AT2" s="2" t="s">
        <v>207</v>
      </c>
      <c r="AU2" s="3">
        <v>45809</v>
      </c>
      <c r="AV2" s="2" t="s">
        <v>208</v>
      </c>
      <c r="AW2" s="3">
        <v>45839</v>
      </c>
      <c r="AX2" s="2" t="s">
        <v>209</v>
      </c>
      <c r="AY2" s="3">
        <v>45870</v>
      </c>
      <c r="AZ2" s="2" t="s">
        <v>210</v>
      </c>
      <c r="BA2" s="3">
        <v>45901</v>
      </c>
      <c r="BB2" s="2" t="s">
        <v>211</v>
      </c>
      <c r="BC2" s="3">
        <v>45931</v>
      </c>
      <c r="BD2" s="2" t="s">
        <v>212</v>
      </c>
      <c r="BE2" s="3">
        <v>45962</v>
      </c>
      <c r="BF2" s="2" t="s">
        <v>213</v>
      </c>
      <c r="BG2" s="3">
        <v>45992</v>
      </c>
      <c r="BH2" s="2" t="s">
        <v>214</v>
      </c>
      <c r="BI2" s="3">
        <v>46023</v>
      </c>
      <c r="BJ2" s="2" t="s">
        <v>215</v>
      </c>
      <c r="BK2" s="3">
        <v>46054</v>
      </c>
      <c r="BL2" s="2" t="s">
        <v>216</v>
      </c>
      <c r="BM2" s="3">
        <v>46082</v>
      </c>
      <c r="BN2" s="2" t="s">
        <v>217</v>
      </c>
      <c r="BO2" s="3">
        <v>46113</v>
      </c>
      <c r="BP2" s="2" t="s">
        <v>218</v>
      </c>
      <c r="BQ2" s="3">
        <v>46143</v>
      </c>
      <c r="BR2" s="2" t="s">
        <v>219</v>
      </c>
      <c r="BS2" s="3">
        <v>46174</v>
      </c>
      <c r="BT2" s="2" t="s">
        <v>220</v>
      </c>
      <c r="BU2" s="3">
        <v>46204</v>
      </c>
      <c r="BV2" s="2" t="s">
        <v>221</v>
      </c>
      <c r="BW2" s="3">
        <v>46235</v>
      </c>
      <c r="BX2" s="2" t="s">
        <v>222</v>
      </c>
      <c r="BY2" s="2" t="s">
        <v>121</v>
      </c>
    </row>
    <row r="3" spans="1:77" x14ac:dyDescent="0.25">
      <c r="A3" s="5" t="s">
        <v>136</v>
      </c>
      <c r="B3" s="5" t="s">
        <v>0</v>
      </c>
      <c r="C3" s="5" t="s">
        <v>1</v>
      </c>
      <c r="D3" s="5" t="s">
        <v>2</v>
      </c>
      <c r="E3" s="5" t="s">
        <v>104</v>
      </c>
      <c r="F3" s="10">
        <v>7.7272727272727275</v>
      </c>
      <c r="G3" s="6">
        <v>9</v>
      </c>
      <c r="H3" s="7">
        <f>(G3/F3*100-100)/100</f>
        <v>0.16470588235294101</v>
      </c>
      <c r="I3" s="6">
        <v>8.9387755102040813</v>
      </c>
      <c r="J3" s="7">
        <f>(I3/G3*100-100)/100</f>
        <v>-6.8027210884353904E-3</v>
      </c>
      <c r="K3" s="6">
        <v>12.938775510204081</v>
      </c>
      <c r="L3" s="7">
        <f>(K3/I3*100-100)/100</f>
        <v>0.44748858447488599</v>
      </c>
      <c r="M3" s="11">
        <v>12.938775510204081</v>
      </c>
      <c r="N3" s="7">
        <f>(M3/K3*100-100)/100</f>
        <v>0</v>
      </c>
      <c r="O3" s="11">
        <v>12.938775510204081</v>
      </c>
      <c r="P3" s="7">
        <f>(O3/M3*100-100)/100</f>
        <v>0</v>
      </c>
      <c r="Q3" s="11">
        <v>12.938775510204081</v>
      </c>
      <c r="R3" s="7">
        <f>(Q3/O3*100-100)/100</f>
        <v>0</v>
      </c>
      <c r="S3" s="12">
        <v>12.938775510204081</v>
      </c>
      <c r="T3" s="7">
        <f>(S3/Q3*100-100)/100</f>
        <v>0</v>
      </c>
      <c r="U3" s="11">
        <v>12.938775510204081</v>
      </c>
      <c r="V3" s="7">
        <f>(U3/S3*100-100)/100</f>
        <v>0</v>
      </c>
      <c r="W3" s="11">
        <v>12.938775510204081</v>
      </c>
      <c r="X3" s="7">
        <f>(W3/U3*100-100)/100</f>
        <v>0</v>
      </c>
      <c r="Y3" s="13">
        <v>12.938775510204081</v>
      </c>
      <c r="Z3" s="7">
        <f>(Y3/W3*100-100)/100</f>
        <v>0</v>
      </c>
      <c r="AA3" s="13">
        <v>12.938775510204081</v>
      </c>
      <c r="AB3" s="7">
        <f>(AA3/Y3*100-100)/100</f>
        <v>0</v>
      </c>
      <c r="AC3" s="13">
        <v>12.938775510204081</v>
      </c>
      <c r="AD3" s="7">
        <f>(AC3/AA3*100-100)/100</f>
        <v>0</v>
      </c>
      <c r="AE3" s="13">
        <v>12.938775510204081</v>
      </c>
      <c r="AF3" s="7">
        <f>(AE3/AC3*100-100)/100</f>
        <v>0</v>
      </c>
      <c r="AG3" s="13">
        <v>12.938775510204081</v>
      </c>
      <c r="AH3" s="7">
        <f>(AG3/AE3*100-100)/100</f>
        <v>0</v>
      </c>
      <c r="AI3" s="13">
        <v>12.938775510204081</v>
      </c>
      <c r="AJ3" s="7">
        <f>(AI3/AG3*100-100)/100</f>
        <v>0</v>
      </c>
      <c r="AK3" s="13">
        <v>12.938775510204081</v>
      </c>
      <c r="AL3" s="7">
        <f>(AK3/AI3*100-100)/100</f>
        <v>0</v>
      </c>
      <c r="AM3" s="13">
        <v>12.938775510204081</v>
      </c>
      <c r="AN3" s="7">
        <f>(AM3/AK3*100-100)/100</f>
        <v>0</v>
      </c>
      <c r="AO3" s="13">
        <v>12.938775510204081</v>
      </c>
      <c r="AP3" s="7">
        <f>(AO3/AM3*100-100)/100</f>
        <v>0</v>
      </c>
      <c r="AQ3" s="13">
        <v>12.938775510204081</v>
      </c>
      <c r="AR3" s="7">
        <f>(AQ3/AO3*100-100)/100</f>
        <v>0</v>
      </c>
      <c r="AS3" s="13">
        <v>18.479467699488549</v>
      </c>
      <c r="AT3" s="7">
        <f>(AS3/AQ3*100-100)/100</f>
        <v>0.42822384428223786</v>
      </c>
      <c r="AU3" s="13">
        <v>24.146084711256766</v>
      </c>
      <c r="AV3" s="7">
        <f>(AU3/AS3*100-100)/100</f>
        <v>0.30664395229982999</v>
      </c>
      <c r="AW3" s="13">
        <v>24.744227618054538</v>
      </c>
      <c r="AX3" s="7">
        <f>(AW3/AU3*100-100)/100</f>
        <v>2.4771838331161006E-2</v>
      </c>
      <c r="AY3" s="13">
        <v>11.899895724713241</v>
      </c>
      <c r="AZ3" s="7">
        <f>(AY3/AW3*100-100)/100</f>
        <v>-0.51908396946564916</v>
      </c>
      <c r="BA3" s="13">
        <v>5.254499410912338</v>
      </c>
      <c r="BB3" s="7">
        <f>(BA3/AY3*100-100)/100</f>
        <v>-0.55844155844155863</v>
      </c>
      <c r="BC3" s="13">
        <v>4.7736955432471593</v>
      </c>
      <c r="BD3" s="7">
        <f>(BC3/BA3*100-100)/100</f>
        <v>-9.1503267973855745E-2</v>
      </c>
      <c r="BE3" s="13">
        <v>3.4944138239237321</v>
      </c>
      <c r="BF3" s="7">
        <f>(BE3/BC3*100-100)/100</f>
        <v>-0.26798561151079098</v>
      </c>
      <c r="BG3" s="13">
        <v>3.2740453845771871</v>
      </c>
      <c r="BH3" s="7">
        <f>(BG3/BE3*100-100)/100</f>
        <v>-6.3063063063064112E-2</v>
      </c>
      <c r="BI3" s="13">
        <v>6.2740453845771835</v>
      </c>
      <c r="BJ3" s="7">
        <f>(BI3/BG3*100-100)/100</f>
        <v>0.9162976219364225</v>
      </c>
      <c r="BK3" s="13">
        <v>9.2740453845771817</v>
      </c>
      <c r="BL3" s="7">
        <f>(BK3/BI3*100-100)/100</f>
        <v>0.47816039191788096</v>
      </c>
      <c r="BM3" s="13">
        <v>12.274045384577182</v>
      </c>
      <c r="BN3" s="7">
        <f>(BM3/BK3*100-100)/100</f>
        <v>0.32348342881619119</v>
      </c>
      <c r="BO3" s="13">
        <v>13.595865656762417</v>
      </c>
      <c r="BP3" s="7">
        <f>(BO3/BM3*100-100)/100</f>
        <v>0.10769230769230774</v>
      </c>
      <c r="BQ3" s="13">
        <v>12.538409439014243</v>
      </c>
      <c r="BR3" s="7">
        <f>(BQ3/BO3*100-100)/100</f>
        <v>-7.7777777777776724E-2</v>
      </c>
      <c r="BS3" s="13">
        <v>8.7921365338849853</v>
      </c>
      <c r="BT3" s="7">
        <f>(BS3/BQ3*100-100)/100</f>
        <v>-0.29878374313351402</v>
      </c>
      <c r="BU3" s="13">
        <v>8.9183673469387763</v>
      </c>
      <c r="BV3" s="7">
        <f>(BU3/BS3*100-100)/100</f>
        <v>1.4357239854874422E-2</v>
      </c>
      <c r="BW3" s="17">
        <v>8.534693877551021</v>
      </c>
      <c r="BX3" s="7">
        <f>(BW3/BU3*100-100)/100</f>
        <v>-4.3020594965675091E-2</v>
      </c>
      <c r="BY3" s="8">
        <f>(BW3/F3*100-100)/100</f>
        <v>0.10448979591836746</v>
      </c>
    </row>
    <row r="4" spans="1:77" x14ac:dyDescent="0.25">
      <c r="A4" s="5" t="s">
        <v>137</v>
      </c>
      <c r="B4" s="5" t="s">
        <v>3</v>
      </c>
      <c r="C4" s="5" t="s">
        <v>4</v>
      </c>
      <c r="D4" s="5" t="s">
        <v>5</v>
      </c>
      <c r="E4" s="5" t="s">
        <v>105</v>
      </c>
      <c r="F4" s="10">
        <v>91</v>
      </c>
      <c r="G4" s="6">
        <v>150</v>
      </c>
      <c r="H4" s="7">
        <f t="shared" ref="H4:H44" si="0">(G4/F4*100-100)/100</f>
        <v>0.64835164835164816</v>
      </c>
      <c r="I4" s="6">
        <v>204.375</v>
      </c>
      <c r="J4" s="7">
        <f t="shared" ref="J4:L42" si="1">(I4/G4*100-100)/100</f>
        <v>0.36249999999999999</v>
      </c>
      <c r="K4" s="6">
        <v>825</v>
      </c>
      <c r="L4" s="7">
        <f t="shared" si="1"/>
        <v>3.0366972477064218</v>
      </c>
      <c r="M4" s="11">
        <v>1025</v>
      </c>
      <c r="N4" s="7">
        <f t="shared" ref="N4:N44" si="2">(M4/K4*100-100)/100</f>
        <v>0.24242424242424249</v>
      </c>
      <c r="O4" s="11">
        <v>1025</v>
      </c>
      <c r="P4" s="7">
        <f t="shared" ref="P4:P48" si="3">(O4/M4*100-100)/100</f>
        <v>0</v>
      </c>
      <c r="Q4" s="11">
        <v>1025</v>
      </c>
      <c r="R4" s="7">
        <f t="shared" ref="R4:R48" si="4">(Q4/O4*100-100)/100</f>
        <v>0</v>
      </c>
      <c r="S4" s="12">
        <v>1025</v>
      </c>
      <c r="T4" s="7">
        <f t="shared" ref="T4:T48" si="5">(S4/Q4*100-100)/100</f>
        <v>0</v>
      </c>
      <c r="U4" s="11">
        <v>1025</v>
      </c>
      <c r="V4" s="7">
        <f t="shared" ref="V4:V48" si="6">(U4/S4*100-100)/100</f>
        <v>0</v>
      </c>
      <c r="W4" s="11">
        <v>1025</v>
      </c>
      <c r="X4" s="7">
        <f t="shared" ref="X4:X48" si="7">(W4/U4*100-100)/100</f>
        <v>0</v>
      </c>
      <c r="Y4" s="13">
        <v>1025</v>
      </c>
      <c r="Z4" s="7">
        <f t="shared" ref="Z4:Z48" si="8">(Y4/W4*100-100)/100</f>
        <v>0</v>
      </c>
      <c r="AA4" s="13">
        <v>1025</v>
      </c>
      <c r="AB4" s="7">
        <f t="shared" ref="AB4:AB48" si="9">(AA4/Y4*100-100)/100</f>
        <v>0</v>
      </c>
      <c r="AC4" s="13">
        <v>1025</v>
      </c>
      <c r="AD4" s="7">
        <f t="shared" ref="AD4:AD48" si="10">(AC4/AA4*100-100)/100</f>
        <v>0</v>
      </c>
      <c r="AE4" s="13">
        <v>1025</v>
      </c>
      <c r="AF4" s="7">
        <f t="shared" ref="AF4:AP48" si="11">(AE4/AC4*100-100)/100</f>
        <v>0</v>
      </c>
      <c r="AG4" s="13">
        <v>1025</v>
      </c>
      <c r="AH4" s="7">
        <f t="shared" si="11"/>
        <v>0</v>
      </c>
      <c r="AI4" s="13">
        <v>1025</v>
      </c>
      <c r="AJ4" s="7">
        <f t="shared" si="11"/>
        <v>0</v>
      </c>
      <c r="AK4" s="13">
        <v>410.59941520467851</v>
      </c>
      <c r="AL4" s="7">
        <f t="shared" si="11"/>
        <v>-0.59941520467836251</v>
      </c>
      <c r="AM4" s="13">
        <v>80.423076923076934</v>
      </c>
      <c r="AN4" s="7">
        <f t="shared" si="11"/>
        <v>-0.80413250982594053</v>
      </c>
      <c r="AO4" s="13">
        <v>114.39506172839513</v>
      </c>
      <c r="AP4" s="7">
        <f t="shared" si="11"/>
        <v>0.42241587993222024</v>
      </c>
      <c r="AQ4" s="13">
        <v>533.41414141414145</v>
      </c>
      <c r="AR4" s="7">
        <f t="shared" ref="AR4:AX48" si="12">(AQ4/AO4*100-100)/100</f>
        <v>3.6629123089300055</v>
      </c>
      <c r="AS4" s="13">
        <v>2592.1111111111104</v>
      </c>
      <c r="AT4" s="7">
        <f t="shared" si="12"/>
        <v>3.8594720496894395</v>
      </c>
      <c r="AU4" s="13">
        <v>2036.6180555555554</v>
      </c>
      <c r="AV4" s="7">
        <f t="shared" si="12"/>
        <v>-0.21430140597539521</v>
      </c>
      <c r="AW4" s="13">
        <v>2400.0185185185187</v>
      </c>
      <c r="AX4" s="7">
        <f t="shared" si="12"/>
        <v>0.17843329139288897</v>
      </c>
      <c r="AY4" s="13">
        <v>708.3888888888888</v>
      </c>
      <c r="AZ4" s="7">
        <f t="shared" ref="AZ4:BB48" si="13">(AY4/AW4*100-100)/100</f>
        <v>-0.70484024043024363</v>
      </c>
      <c r="BA4" s="13">
        <v>247.07189542483673</v>
      </c>
      <c r="BB4" s="7">
        <f t="shared" si="13"/>
        <v>-0.65121997351995442</v>
      </c>
      <c r="BC4" s="13">
        <v>235.62345679012344</v>
      </c>
      <c r="BD4" s="7">
        <f t="shared" ref="BD4:BD48" si="14">(BC4/BA4*100-100)/100</f>
        <v>-4.633646661846285E-2</v>
      </c>
      <c r="BE4" s="13">
        <v>160.96296296296302</v>
      </c>
      <c r="BF4" s="7">
        <f t="shared" ref="BF4:BF48" si="15">(BE4/BC4*100-100)/100</f>
        <v>-0.31686358754027893</v>
      </c>
      <c r="BG4" s="13">
        <v>92.412698412698475</v>
      </c>
      <c r="BH4" s="7">
        <f t="shared" ref="BH4:BH48" si="16">(BG4/BE4*100-100)/100</f>
        <v>-0.42587601078167092</v>
      </c>
      <c r="BI4" s="13">
        <v>60.79595959595963</v>
      </c>
      <c r="BJ4" s="7">
        <f t="shared" ref="BJ4:BJ48" si="17">(BI4/BG4*100-100)/100</f>
        <v>-0.3421254801536493</v>
      </c>
      <c r="BK4" s="13">
        <v>62.169934640522911</v>
      </c>
      <c r="BL4" s="7">
        <f t="shared" ref="BL4:BV48" si="18">(BK4/BI4*100-100)/100</f>
        <v>2.2599775605064848E-2</v>
      </c>
      <c r="BM4" s="13">
        <v>118.44444444444456</v>
      </c>
      <c r="BN4" s="7">
        <f t="shared" si="18"/>
        <v>0.90517241379310409</v>
      </c>
      <c r="BO4" s="13">
        <v>182.22222222222231</v>
      </c>
      <c r="BP4" s="7">
        <f t="shared" si="18"/>
        <v>0.53846153846153788</v>
      </c>
      <c r="BQ4" s="13">
        <v>151.42666666666676</v>
      </c>
      <c r="BR4" s="7">
        <f t="shared" si="18"/>
        <v>-0.16899999999999993</v>
      </c>
      <c r="BS4" s="13">
        <v>110</v>
      </c>
      <c r="BT4" s="7">
        <f t="shared" si="18"/>
        <v>-0.27357576824865776</v>
      </c>
      <c r="BU4" s="13">
        <v>103.25</v>
      </c>
      <c r="BV4" s="7">
        <f t="shared" si="18"/>
        <v>-6.1363636363636405E-2</v>
      </c>
      <c r="BW4" s="17">
        <v>77.453125</v>
      </c>
      <c r="BX4" s="7">
        <f t="shared" ref="BX4:BX48" si="19">(BW4/BU4*100-100)/100</f>
        <v>-0.24984866828087177</v>
      </c>
      <c r="BY4" s="8">
        <f t="shared" ref="BY4:BY44" si="20">(BW4/F4*100-100)/100</f>
        <v>-0.14886675824175824</v>
      </c>
    </row>
    <row r="5" spans="1:77" x14ac:dyDescent="0.25">
      <c r="A5" s="5" t="s">
        <v>138</v>
      </c>
      <c r="B5" s="5" t="s">
        <v>6</v>
      </c>
      <c r="C5" s="5" t="s">
        <v>1</v>
      </c>
      <c r="D5" s="14" t="s">
        <v>7</v>
      </c>
      <c r="E5" s="5" t="s">
        <v>106</v>
      </c>
      <c r="F5" s="10">
        <v>7</v>
      </c>
      <c r="G5" s="6">
        <v>8.0000000000000107</v>
      </c>
      <c r="H5" s="7">
        <f t="shared" si="0"/>
        <v>0.14285714285714435</v>
      </c>
      <c r="I5" s="6">
        <v>8</v>
      </c>
      <c r="J5" s="7">
        <f t="shared" si="1"/>
        <v>-1.2789769243681803E-15</v>
      </c>
      <c r="K5" s="6">
        <v>8</v>
      </c>
      <c r="L5" s="7">
        <f t="shared" si="1"/>
        <v>0</v>
      </c>
      <c r="M5" s="11">
        <v>6</v>
      </c>
      <c r="N5" s="7">
        <f t="shared" si="2"/>
        <v>-0.25</v>
      </c>
      <c r="O5" s="11">
        <v>9.9999999999999893</v>
      </c>
      <c r="P5" s="7">
        <f t="shared" si="3"/>
        <v>0.66666666666666485</v>
      </c>
      <c r="Q5" s="11">
        <v>9.9999999999999964</v>
      </c>
      <c r="R5" s="7">
        <f t="shared" si="4"/>
        <v>7.1054273576010023E-16</v>
      </c>
      <c r="S5" s="12">
        <v>8.3750000000000018</v>
      </c>
      <c r="T5" s="7">
        <f t="shared" si="5"/>
        <v>-0.16249999999999956</v>
      </c>
      <c r="U5" s="11">
        <v>9.1428571428571495</v>
      </c>
      <c r="V5" s="7">
        <f t="shared" si="6"/>
        <v>9.1684434968017717E-2</v>
      </c>
      <c r="W5" s="11">
        <v>7.5</v>
      </c>
      <c r="X5" s="7">
        <f t="shared" si="7"/>
        <v>-0.17968750000000056</v>
      </c>
      <c r="Y5" s="13">
        <v>8.1249999999999982</v>
      </c>
      <c r="Z5" s="7">
        <f t="shared" si="8"/>
        <v>8.3333333333332996E-2</v>
      </c>
      <c r="AA5" s="13">
        <v>9.75</v>
      </c>
      <c r="AB5" s="7">
        <f t="shared" si="9"/>
        <v>0.20000000000000015</v>
      </c>
      <c r="AC5" s="13">
        <v>9.75</v>
      </c>
      <c r="AD5" s="7">
        <f t="shared" si="10"/>
        <v>0</v>
      </c>
      <c r="AE5" s="13">
        <v>8.25</v>
      </c>
      <c r="AF5" s="7">
        <f t="shared" si="11"/>
        <v>-0.15384615384615385</v>
      </c>
      <c r="AG5" s="13">
        <v>13.79999999999999</v>
      </c>
      <c r="AH5" s="7">
        <f t="shared" si="11"/>
        <v>0.6727272727272714</v>
      </c>
      <c r="AI5" s="13">
        <v>64.875</v>
      </c>
      <c r="AJ5" s="7">
        <f t="shared" si="11"/>
        <v>3.7010869565217428</v>
      </c>
      <c r="AK5" s="13">
        <v>39</v>
      </c>
      <c r="AL5" s="7">
        <f t="shared" si="11"/>
        <v>-0.39884393063583817</v>
      </c>
      <c r="AM5" s="13">
        <v>3.8571428571428559</v>
      </c>
      <c r="AN5" s="7">
        <f t="shared" si="11"/>
        <v>-0.90109890109890112</v>
      </c>
      <c r="AO5" s="13">
        <v>12.8125</v>
      </c>
      <c r="AP5" s="7">
        <f t="shared" si="11"/>
        <v>2.3217592592592604</v>
      </c>
      <c r="AQ5" s="13">
        <v>39.999999999999986</v>
      </c>
      <c r="AR5" s="7">
        <f t="shared" si="12"/>
        <v>2.1219512195121939</v>
      </c>
      <c r="AS5" s="13">
        <v>90</v>
      </c>
      <c r="AT5" s="7">
        <f t="shared" si="12"/>
        <v>1.2500000000000009</v>
      </c>
      <c r="AU5" s="13">
        <v>90</v>
      </c>
      <c r="AV5" s="7">
        <f t="shared" si="12"/>
        <v>0</v>
      </c>
      <c r="AW5" s="13">
        <v>180</v>
      </c>
      <c r="AX5" s="7">
        <f t="shared" si="12"/>
        <v>1</v>
      </c>
      <c r="AY5" s="13">
        <v>180</v>
      </c>
      <c r="AZ5" s="7">
        <f t="shared" si="13"/>
        <v>0</v>
      </c>
      <c r="BA5" s="13">
        <v>54</v>
      </c>
      <c r="BB5" s="7">
        <f t="shared" si="13"/>
        <v>-0.7</v>
      </c>
      <c r="BC5" s="13">
        <v>4.125</v>
      </c>
      <c r="BD5" s="7">
        <f t="shared" si="14"/>
        <v>-0.92361111111111116</v>
      </c>
      <c r="BE5" s="13">
        <v>6.0375000000000005</v>
      </c>
      <c r="BF5" s="7">
        <f t="shared" si="15"/>
        <v>0.46363636363636374</v>
      </c>
      <c r="BG5" s="13">
        <v>4.9999999999999982</v>
      </c>
      <c r="BH5" s="7">
        <f t="shared" si="16"/>
        <v>-0.17184265010352007</v>
      </c>
      <c r="BI5" s="13">
        <v>6</v>
      </c>
      <c r="BJ5" s="7">
        <f t="shared" si="17"/>
        <v>0.20000000000000043</v>
      </c>
      <c r="BK5" s="13">
        <v>4.5</v>
      </c>
      <c r="BL5" s="7">
        <f t="shared" si="18"/>
        <v>-0.25</v>
      </c>
      <c r="BM5" s="13">
        <v>7.038461538461549</v>
      </c>
      <c r="BN5" s="7">
        <f t="shared" si="18"/>
        <v>0.56410256410256665</v>
      </c>
      <c r="BO5" s="13">
        <v>5.5000000000000027</v>
      </c>
      <c r="BP5" s="7">
        <f t="shared" si="18"/>
        <v>-0.21857923497267834</v>
      </c>
      <c r="BQ5" s="13">
        <v>9.5000000000000036</v>
      </c>
      <c r="BR5" s="7">
        <f t="shared" si="18"/>
        <v>0.72727272727272718</v>
      </c>
      <c r="BS5" s="13">
        <v>12.140625</v>
      </c>
      <c r="BT5" s="7">
        <f t="shared" si="18"/>
        <v>0.27796052631578888</v>
      </c>
      <c r="BU5" s="13">
        <v>11.90625</v>
      </c>
      <c r="BV5" s="7">
        <f t="shared" si="18"/>
        <v>-1.9305019305019329E-2</v>
      </c>
      <c r="BW5" s="17">
        <v>12.703125</v>
      </c>
      <c r="BX5" s="7">
        <f t="shared" si="19"/>
        <v>6.6929133858267847E-2</v>
      </c>
      <c r="BY5" s="8">
        <f t="shared" si="20"/>
        <v>0.81473214285714279</v>
      </c>
    </row>
    <row r="6" spans="1:77" x14ac:dyDescent="0.25">
      <c r="A6" s="5" t="s">
        <v>139</v>
      </c>
      <c r="B6" s="5" t="s">
        <v>8</v>
      </c>
      <c r="C6" s="5" t="s">
        <v>1</v>
      </c>
      <c r="D6" s="5" t="s">
        <v>9</v>
      </c>
      <c r="E6" s="5" t="s">
        <v>104</v>
      </c>
      <c r="F6" s="10">
        <v>16</v>
      </c>
      <c r="G6" s="6">
        <v>16.615384615384617</v>
      </c>
      <c r="H6" s="7">
        <f t="shared" si="0"/>
        <v>3.846153846153854E-2</v>
      </c>
      <c r="I6" s="6">
        <v>21</v>
      </c>
      <c r="J6" s="7">
        <f t="shared" si="1"/>
        <v>0.26388888888888884</v>
      </c>
      <c r="K6" s="6">
        <v>29.333333333333325</v>
      </c>
      <c r="L6" s="7">
        <f t="shared" si="1"/>
        <v>0.39682539682539641</v>
      </c>
      <c r="M6" s="11">
        <v>29.333333333333325</v>
      </c>
      <c r="N6" s="7">
        <f t="shared" si="2"/>
        <v>0</v>
      </c>
      <c r="O6" s="11">
        <v>29.333333333333325</v>
      </c>
      <c r="P6" s="7">
        <f t="shared" si="3"/>
        <v>0</v>
      </c>
      <c r="Q6" s="11">
        <v>29.333333333333325</v>
      </c>
      <c r="R6" s="7">
        <f t="shared" si="4"/>
        <v>0</v>
      </c>
      <c r="S6" s="12">
        <v>29.333333333333325</v>
      </c>
      <c r="T6" s="7">
        <f t="shared" si="5"/>
        <v>0</v>
      </c>
      <c r="U6" s="11">
        <v>29.333333333333325</v>
      </c>
      <c r="V6" s="7">
        <f t="shared" si="6"/>
        <v>0</v>
      </c>
      <c r="W6" s="11">
        <v>29.333333333333325</v>
      </c>
      <c r="X6" s="7">
        <f t="shared" si="7"/>
        <v>0</v>
      </c>
      <c r="Y6" s="13">
        <v>29.333333333333325</v>
      </c>
      <c r="Z6" s="7">
        <f t="shared" si="8"/>
        <v>0</v>
      </c>
      <c r="AA6" s="13">
        <v>24.75</v>
      </c>
      <c r="AB6" s="7">
        <f t="shared" si="9"/>
        <v>-0.15624999999999972</v>
      </c>
      <c r="AC6" s="13">
        <v>48.875</v>
      </c>
      <c r="AD6" s="7">
        <f t="shared" si="10"/>
        <v>0.97474747474747458</v>
      </c>
      <c r="AE6" s="13">
        <v>104.25</v>
      </c>
      <c r="AF6" s="7">
        <f t="shared" si="11"/>
        <v>1.132992327365729</v>
      </c>
      <c r="AG6" s="13">
        <v>90</v>
      </c>
      <c r="AH6" s="7">
        <f t="shared" si="11"/>
        <v>-0.13669064748201434</v>
      </c>
      <c r="AI6" s="13">
        <v>90</v>
      </c>
      <c r="AJ6" s="7">
        <f t="shared" si="11"/>
        <v>0</v>
      </c>
      <c r="AK6" s="13">
        <v>32.75</v>
      </c>
      <c r="AL6" s="7">
        <f t="shared" si="11"/>
        <v>-0.63611111111111118</v>
      </c>
      <c r="AM6" s="13">
        <v>22.22727272727273</v>
      </c>
      <c r="AN6" s="7">
        <f t="shared" si="11"/>
        <v>-0.32130464954892418</v>
      </c>
      <c r="AO6" s="13">
        <v>41.333333333333336</v>
      </c>
      <c r="AP6" s="7">
        <f t="shared" si="11"/>
        <v>0.85957736877982283</v>
      </c>
      <c r="AQ6" s="13">
        <v>41.333333333333336</v>
      </c>
      <c r="AR6" s="7">
        <f t="shared" si="12"/>
        <v>0</v>
      </c>
      <c r="AS6" s="13">
        <v>41.333333333333336</v>
      </c>
      <c r="AT6" s="7">
        <f t="shared" si="12"/>
        <v>0</v>
      </c>
      <c r="AU6" s="13">
        <v>304.91803278688531</v>
      </c>
      <c r="AV6" s="7">
        <f t="shared" si="12"/>
        <v>6.3770491803278695</v>
      </c>
      <c r="AW6" s="13">
        <v>304.91803278688531</v>
      </c>
      <c r="AX6" s="7">
        <f t="shared" si="12"/>
        <v>0</v>
      </c>
      <c r="AY6" s="13">
        <v>120</v>
      </c>
      <c r="AZ6" s="7">
        <f t="shared" si="13"/>
        <v>-0.6064516129032258</v>
      </c>
      <c r="BA6" s="13">
        <v>100</v>
      </c>
      <c r="BB6" s="7">
        <f t="shared" si="13"/>
        <v>-0.16666666666666657</v>
      </c>
      <c r="BC6" s="13">
        <v>97</v>
      </c>
      <c r="BD6" s="7">
        <f t="shared" si="14"/>
        <v>-0.03</v>
      </c>
      <c r="BE6" s="13">
        <v>36.057692307692314</v>
      </c>
      <c r="BF6" s="7">
        <f t="shared" si="15"/>
        <v>-0.6282712133227597</v>
      </c>
      <c r="BG6" s="13">
        <v>26.519607843137251</v>
      </c>
      <c r="BH6" s="7">
        <f t="shared" si="16"/>
        <v>-0.2645228758169938</v>
      </c>
      <c r="BI6" s="13">
        <v>22.537037037037027</v>
      </c>
      <c r="BJ6" s="7">
        <f t="shared" si="17"/>
        <v>-0.15017457383446314</v>
      </c>
      <c r="BK6" s="13">
        <v>24.233333333333341</v>
      </c>
      <c r="BL6" s="7">
        <f t="shared" si="18"/>
        <v>7.5267050123254645E-2</v>
      </c>
      <c r="BM6" s="13">
        <v>31.100000000000009</v>
      </c>
      <c r="BN6" s="7">
        <f t="shared" si="18"/>
        <v>0.28335625859697389</v>
      </c>
      <c r="BO6" s="13">
        <v>27.333333333333329</v>
      </c>
      <c r="BP6" s="7">
        <f t="shared" si="18"/>
        <v>-0.12111468381564876</v>
      </c>
      <c r="BQ6" s="13">
        <v>26.666666666666671</v>
      </c>
      <c r="BR6" s="7">
        <f t="shared" si="18"/>
        <v>-2.4390243902438727E-2</v>
      </c>
      <c r="BS6" s="13">
        <v>25.117647058823529</v>
      </c>
      <c r="BT6" s="7">
        <f t="shared" si="18"/>
        <v>-5.8088235294117822E-2</v>
      </c>
      <c r="BU6" s="13">
        <v>24.529411764705884</v>
      </c>
      <c r="BV6" s="7">
        <f t="shared" si="18"/>
        <v>-2.3419203747072573E-2</v>
      </c>
      <c r="BW6" s="17">
        <v>22.443850267379677</v>
      </c>
      <c r="BX6" s="7">
        <f t="shared" si="19"/>
        <v>-8.5022890778286633E-2</v>
      </c>
      <c r="BY6" s="8">
        <f t="shared" si="20"/>
        <v>0.40274064171122975</v>
      </c>
    </row>
    <row r="7" spans="1:77" x14ac:dyDescent="0.25">
      <c r="A7" s="5" t="s">
        <v>140</v>
      </c>
      <c r="B7" s="5" t="s">
        <v>10</v>
      </c>
      <c r="C7" s="5" t="s">
        <v>11</v>
      </c>
      <c r="D7" s="5" t="s">
        <v>12</v>
      </c>
      <c r="E7" s="5" t="s">
        <v>107</v>
      </c>
      <c r="F7" s="10">
        <v>13.333333333333334</v>
      </c>
      <c r="G7" s="6">
        <v>18</v>
      </c>
      <c r="H7" s="7">
        <f t="shared" si="0"/>
        <v>0.35</v>
      </c>
      <c r="I7" s="6">
        <v>31.25</v>
      </c>
      <c r="J7" s="7">
        <f t="shared" si="1"/>
        <v>0.73611111111111116</v>
      </c>
      <c r="K7" s="6">
        <v>60</v>
      </c>
      <c r="L7" s="7">
        <f t="shared" si="1"/>
        <v>0.92</v>
      </c>
      <c r="M7" s="11">
        <v>53.75</v>
      </c>
      <c r="N7" s="7">
        <f t="shared" si="2"/>
        <v>-0.10416666666666657</v>
      </c>
      <c r="O7" s="11">
        <v>100</v>
      </c>
      <c r="P7" s="7">
        <f t="shared" si="3"/>
        <v>0.86046511627906963</v>
      </c>
      <c r="Q7" s="11">
        <v>122.5</v>
      </c>
      <c r="R7" s="7">
        <f t="shared" si="4"/>
        <v>0.22500000000000014</v>
      </c>
      <c r="S7" s="12">
        <v>60</v>
      </c>
      <c r="T7" s="7">
        <f t="shared" si="5"/>
        <v>-0.51020408163265307</v>
      </c>
      <c r="U7" s="11">
        <v>101.39999999999992</v>
      </c>
      <c r="V7" s="7">
        <f t="shared" si="6"/>
        <v>0.68999999999999861</v>
      </c>
      <c r="W7" s="11">
        <v>55.75</v>
      </c>
      <c r="X7" s="7">
        <f t="shared" si="7"/>
        <v>-0.4501972386587767</v>
      </c>
      <c r="Y7" s="13">
        <v>32</v>
      </c>
      <c r="Z7" s="7">
        <f t="shared" si="8"/>
        <v>-0.42600896860986542</v>
      </c>
      <c r="AA7" s="13">
        <v>38.25</v>
      </c>
      <c r="AB7" s="7">
        <f t="shared" si="9"/>
        <v>0.1953125</v>
      </c>
      <c r="AC7" s="13">
        <v>100.875</v>
      </c>
      <c r="AD7" s="7">
        <f t="shared" si="10"/>
        <v>1.6372549019607845</v>
      </c>
      <c r="AE7" s="13">
        <v>188.75</v>
      </c>
      <c r="AF7" s="7">
        <f t="shared" si="11"/>
        <v>0.87112763320941755</v>
      </c>
      <c r="AG7" s="13">
        <v>270</v>
      </c>
      <c r="AH7" s="7">
        <f t="shared" si="11"/>
        <v>0.43046357615894038</v>
      </c>
      <c r="AI7" s="13">
        <v>118.33333333333324</v>
      </c>
      <c r="AJ7" s="7">
        <f t="shared" si="11"/>
        <v>-0.56172839506172867</v>
      </c>
      <c r="AK7" s="13">
        <v>63</v>
      </c>
      <c r="AL7" s="7">
        <f t="shared" si="11"/>
        <v>-0.4676056338028165</v>
      </c>
      <c r="AM7" s="13">
        <v>29.625</v>
      </c>
      <c r="AN7" s="7">
        <f t="shared" si="11"/>
        <v>-0.52976190476190477</v>
      </c>
      <c r="AO7" s="13">
        <v>36.1111111111111</v>
      </c>
      <c r="AP7" s="7">
        <f t="shared" si="11"/>
        <v>0.21894045944678808</v>
      </c>
      <c r="AQ7" s="13">
        <v>150</v>
      </c>
      <c r="AR7" s="7">
        <f t="shared" si="12"/>
        <v>3.1538461538461551</v>
      </c>
      <c r="AS7" s="13">
        <v>360</v>
      </c>
      <c r="AT7" s="7">
        <f t="shared" si="12"/>
        <v>1.4</v>
      </c>
      <c r="AU7" s="13">
        <v>360</v>
      </c>
      <c r="AV7" s="7">
        <f t="shared" si="12"/>
        <v>0</v>
      </c>
      <c r="AW7" s="13">
        <v>360</v>
      </c>
      <c r="AX7" s="7">
        <f t="shared" si="12"/>
        <v>0</v>
      </c>
      <c r="AY7" s="13">
        <v>360</v>
      </c>
      <c r="AZ7" s="7">
        <f t="shared" si="13"/>
        <v>0</v>
      </c>
      <c r="BA7" s="13">
        <v>495</v>
      </c>
      <c r="BB7" s="7">
        <f t="shared" si="13"/>
        <v>0.375</v>
      </c>
      <c r="BC7" s="13">
        <v>600</v>
      </c>
      <c r="BD7" s="7">
        <f t="shared" si="14"/>
        <v>0.21212121212121218</v>
      </c>
      <c r="BE7" s="13">
        <v>90</v>
      </c>
      <c r="BF7" s="7">
        <f t="shared" si="15"/>
        <v>-0.85</v>
      </c>
      <c r="BG7" s="13">
        <v>47.342105263157912</v>
      </c>
      <c r="BH7" s="7">
        <f t="shared" si="16"/>
        <v>-0.47397660818713427</v>
      </c>
      <c r="BI7" s="13">
        <v>24.071428571428594</v>
      </c>
      <c r="BJ7" s="7">
        <f t="shared" si="17"/>
        <v>-0.49154292067021332</v>
      </c>
      <c r="BK7" s="13">
        <v>30</v>
      </c>
      <c r="BL7" s="7">
        <f t="shared" si="18"/>
        <v>0.24629080118694247</v>
      </c>
      <c r="BM7" s="13">
        <v>40</v>
      </c>
      <c r="BN7" s="7">
        <f t="shared" si="18"/>
        <v>0.33333333333333315</v>
      </c>
      <c r="BO7" s="13">
        <v>40</v>
      </c>
      <c r="BP7" s="7">
        <f t="shared" si="18"/>
        <v>0</v>
      </c>
      <c r="BQ7" s="13">
        <v>51</v>
      </c>
      <c r="BR7" s="7">
        <f t="shared" si="18"/>
        <v>0.27499999999999986</v>
      </c>
      <c r="BS7" s="13">
        <v>38.56666666666667</v>
      </c>
      <c r="BT7" s="7">
        <f t="shared" si="18"/>
        <v>-0.24379084967320253</v>
      </c>
      <c r="BU7" s="13">
        <v>35.1</v>
      </c>
      <c r="BV7" s="7">
        <f t="shared" si="18"/>
        <v>-8.9887640449438214E-2</v>
      </c>
      <c r="BW7" s="17">
        <v>36.508333333333333</v>
      </c>
      <c r="BX7" s="7">
        <f t="shared" si="19"/>
        <v>4.0123456790123413E-2</v>
      </c>
      <c r="BY7" s="8">
        <f t="shared" si="20"/>
        <v>1.7381249999999995</v>
      </c>
    </row>
    <row r="8" spans="1:77" x14ac:dyDescent="0.25">
      <c r="A8" s="5" t="s">
        <v>141</v>
      </c>
      <c r="B8" s="5" t="s">
        <v>13</v>
      </c>
      <c r="C8" s="5" t="s">
        <v>14</v>
      </c>
      <c r="D8" s="5" t="s">
        <v>15</v>
      </c>
      <c r="E8" s="5" t="s">
        <v>108</v>
      </c>
      <c r="F8" s="10">
        <v>30.4</v>
      </c>
      <c r="G8" s="6">
        <v>33.846153846153847</v>
      </c>
      <c r="H8" s="7">
        <f t="shared" si="0"/>
        <v>0.11336032388663966</v>
      </c>
      <c r="I8" s="6">
        <v>38</v>
      </c>
      <c r="J8" s="7">
        <f t="shared" si="1"/>
        <v>0.12272727272727281</v>
      </c>
      <c r="K8" s="6">
        <v>61.666666666666679</v>
      </c>
      <c r="L8" s="7">
        <f t="shared" si="1"/>
        <v>0.62280701754386003</v>
      </c>
      <c r="M8" s="11">
        <v>92.5</v>
      </c>
      <c r="N8" s="7">
        <f t="shared" si="2"/>
        <v>0.49999999999999972</v>
      </c>
      <c r="O8" s="11">
        <v>95</v>
      </c>
      <c r="P8" s="7">
        <f t="shared" si="3"/>
        <v>2.7027027027026945E-2</v>
      </c>
      <c r="Q8" s="11">
        <v>73.75</v>
      </c>
      <c r="R8" s="7">
        <f t="shared" si="4"/>
        <v>-0.22368421052631576</v>
      </c>
      <c r="S8" s="12">
        <v>52</v>
      </c>
      <c r="T8" s="7">
        <f t="shared" si="5"/>
        <v>-0.29491525423728815</v>
      </c>
      <c r="U8" s="11">
        <v>47.5</v>
      </c>
      <c r="V8" s="7">
        <f t="shared" si="6"/>
        <v>-8.6538461538461606E-2</v>
      </c>
      <c r="W8" s="11">
        <v>52.5</v>
      </c>
      <c r="X8" s="7">
        <f t="shared" si="7"/>
        <v>0.10526315789473699</v>
      </c>
      <c r="Y8" s="13">
        <v>58.75</v>
      </c>
      <c r="Z8" s="7">
        <f t="shared" si="8"/>
        <v>0.11904761904761912</v>
      </c>
      <c r="AA8" s="13">
        <v>60</v>
      </c>
      <c r="AB8" s="7">
        <f t="shared" si="9"/>
        <v>2.1276595744680833E-2</v>
      </c>
      <c r="AC8" s="13">
        <v>60</v>
      </c>
      <c r="AD8" s="7">
        <f t="shared" si="10"/>
        <v>0</v>
      </c>
      <c r="AE8" s="13">
        <v>117.55909090909095</v>
      </c>
      <c r="AF8" s="7">
        <f t="shared" si="11"/>
        <v>0.95931818181818274</v>
      </c>
      <c r="AG8" s="13">
        <v>149.34186915459387</v>
      </c>
      <c r="AH8" s="7">
        <f t="shared" si="11"/>
        <v>0.27035576746744922</v>
      </c>
      <c r="AI8" s="13">
        <v>91.03859874332818</v>
      </c>
      <c r="AJ8" s="7">
        <f t="shared" si="11"/>
        <v>-0.3904013706357996</v>
      </c>
      <c r="AK8" s="13">
        <v>50.52664072528885</v>
      </c>
      <c r="AL8" s="7">
        <f t="shared" si="11"/>
        <v>-0.4449976007677543</v>
      </c>
      <c r="AM8" s="13">
        <v>27.86809429338313</v>
      </c>
      <c r="AN8" s="7">
        <f t="shared" si="11"/>
        <v>-0.44844751415593309</v>
      </c>
      <c r="AO8" s="13">
        <v>41.292819319640557</v>
      </c>
      <c r="AP8" s="7">
        <f t="shared" si="11"/>
        <v>0.48172382671480107</v>
      </c>
      <c r="AQ8" s="13">
        <v>128.86618171444874</v>
      </c>
      <c r="AR8" s="7">
        <f t="shared" si="12"/>
        <v>2.1207891308393827</v>
      </c>
      <c r="AS8" s="13">
        <v>280.66513336185994</v>
      </c>
      <c r="AT8" s="7">
        <f t="shared" si="12"/>
        <v>1.1779580152671754</v>
      </c>
      <c r="AU8" s="13">
        <v>235.44515404364569</v>
      </c>
      <c r="AV8" s="7">
        <f t="shared" si="12"/>
        <v>-0.16111719605695513</v>
      </c>
      <c r="AW8" s="13">
        <v>168.29917183711314</v>
      </c>
      <c r="AX8" s="7">
        <f t="shared" si="12"/>
        <v>-0.28518736127431765</v>
      </c>
      <c r="AY8" s="13">
        <v>108.02379831693051</v>
      </c>
      <c r="AZ8" s="7">
        <f t="shared" si="13"/>
        <v>-0.35814420749805947</v>
      </c>
      <c r="BA8" s="13">
        <v>63.357156611039791</v>
      </c>
      <c r="BB8" s="7">
        <f t="shared" si="13"/>
        <v>-0.41348890153671014</v>
      </c>
      <c r="BC8" s="13">
        <v>38.825855798031647</v>
      </c>
      <c r="BD8" s="7">
        <f t="shared" si="14"/>
        <v>-0.38719068413391577</v>
      </c>
      <c r="BE8" s="13">
        <v>26.237425117672249</v>
      </c>
      <c r="BF8" s="7">
        <f t="shared" si="15"/>
        <v>-0.32422802850356219</v>
      </c>
      <c r="BG8" s="13">
        <v>24.56818998716302</v>
      </c>
      <c r="BH8" s="7">
        <f t="shared" si="16"/>
        <v>-6.3620386643234786E-2</v>
      </c>
      <c r="BI8" s="13">
        <v>25.453530166880601</v>
      </c>
      <c r="BJ8" s="7">
        <f t="shared" si="17"/>
        <v>3.6036036036035883E-2</v>
      </c>
      <c r="BK8" s="13">
        <v>23.340786556190917</v>
      </c>
      <c r="BL8" s="7">
        <f t="shared" si="18"/>
        <v>-8.3003952569169565E-2</v>
      </c>
      <c r="BM8" s="13">
        <v>39.991218345197836</v>
      </c>
      <c r="BN8" s="7">
        <f t="shared" si="18"/>
        <v>0.7133620689655189</v>
      </c>
      <c r="BO8" s="13">
        <v>40.551742160278756</v>
      </c>
      <c r="BP8" s="7">
        <f t="shared" si="18"/>
        <v>1.4016172506738088E-2</v>
      </c>
      <c r="BQ8" s="13">
        <v>35.097414267375754</v>
      </c>
      <c r="BR8" s="7">
        <f t="shared" si="18"/>
        <v>-0.13450292397660846</v>
      </c>
      <c r="BS8" s="13">
        <v>30.083333333333332</v>
      </c>
      <c r="BT8" s="7">
        <f t="shared" si="18"/>
        <v>-0.14286183294998978</v>
      </c>
      <c r="BU8" s="13">
        <v>28.077777777777776</v>
      </c>
      <c r="BV8" s="7">
        <f t="shared" si="18"/>
        <v>-6.6666666666666707E-2</v>
      </c>
      <c r="BW8" s="17">
        <v>28.077777777777776</v>
      </c>
      <c r="BX8" s="7">
        <f t="shared" si="19"/>
        <v>0</v>
      </c>
      <c r="BY8" s="8">
        <f t="shared" si="20"/>
        <v>-7.6388888888889006E-2</v>
      </c>
    </row>
    <row r="9" spans="1:77" x14ac:dyDescent="0.25">
      <c r="A9" s="5" t="s">
        <v>142</v>
      </c>
      <c r="B9" s="5" t="s">
        <v>16</v>
      </c>
      <c r="C9" s="5" t="s">
        <v>17</v>
      </c>
      <c r="D9" s="5" t="s">
        <v>18</v>
      </c>
      <c r="E9" s="5" t="s">
        <v>104</v>
      </c>
      <c r="F9" s="10">
        <v>2.5625</v>
      </c>
      <c r="G9" s="6">
        <v>4.979166666666667</v>
      </c>
      <c r="H9" s="7">
        <f t="shared" si="0"/>
        <v>0.94308943089430897</v>
      </c>
      <c r="I9" s="6">
        <v>4</v>
      </c>
      <c r="J9" s="7">
        <f t="shared" si="1"/>
        <v>-0.19665271966527201</v>
      </c>
      <c r="K9" s="6">
        <v>6.6666666666666643</v>
      </c>
      <c r="L9" s="7">
        <f t="shared" si="1"/>
        <v>0.66666666666666596</v>
      </c>
      <c r="M9" s="11">
        <v>8.5</v>
      </c>
      <c r="N9" s="7">
        <f t="shared" si="2"/>
        <v>0.2750000000000003</v>
      </c>
      <c r="O9" s="11">
        <v>15.666666666666673</v>
      </c>
      <c r="P9" s="7">
        <f t="shared" si="3"/>
        <v>0.84313725490196167</v>
      </c>
      <c r="Q9" s="11">
        <v>20.25</v>
      </c>
      <c r="R9" s="7">
        <f t="shared" si="4"/>
        <v>0.2925531914893611</v>
      </c>
      <c r="S9" s="12">
        <v>16.5</v>
      </c>
      <c r="T9" s="7">
        <f t="shared" si="5"/>
        <v>-0.1851851851851852</v>
      </c>
      <c r="U9" s="11">
        <v>15.25</v>
      </c>
      <c r="V9" s="7">
        <f t="shared" si="6"/>
        <v>-7.5757575757575774E-2</v>
      </c>
      <c r="W9" s="11">
        <v>20</v>
      </c>
      <c r="X9" s="7">
        <f t="shared" si="7"/>
        <v>0.31147540983606548</v>
      </c>
      <c r="Y9" s="13">
        <v>8.25</v>
      </c>
      <c r="Z9" s="7">
        <f t="shared" si="8"/>
        <v>-0.58750000000000002</v>
      </c>
      <c r="AA9" s="13">
        <v>11</v>
      </c>
      <c r="AB9" s="7">
        <f t="shared" si="9"/>
        <v>0.33333333333333315</v>
      </c>
      <c r="AC9" s="13">
        <v>19.069444444444454</v>
      </c>
      <c r="AD9" s="7">
        <f t="shared" si="10"/>
        <v>0.73358585858585945</v>
      </c>
      <c r="AE9" s="13">
        <v>22.401785714285705</v>
      </c>
      <c r="AF9" s="7">
        <f t="shared" si="11"/>
        <v>0.17474768494433349</v>
      </c>
      <c r="AG9" s="13">
        <v>32.051282051282072</v>
      </c>
      <c r="AH9" s="7">
        <f t="shared" si="11"/>
        <v>0.43074674760605547</v>
      </c>
      <c r="AI9" s="13">
        <v>30.443181818181841</v>
      </c>
      <c r="AJ9" s="7">
        <f t="shared" si="11"/>
        <v>-5.0172727272727119E-2</v>
      </c>
      <c r="AK9" s="13">
        <v>20.0625</v>
      </c>
      <c r="AL9" s="7">
        <f t="shared" si="11"/>
        <v>-0.34098544232922778</v>
      </c>
      <c r="AM9" s="13">
        <v>7.0625</v>
      </c>
      <c r="AN9" s="7">
        <f t="shared" si="11"/>
        <v>-0.6479750778816199</v>
      </c>
      <c r="AO9" s="13">
        <v>22.125</v>
      </c>
      <c r="AP9" s="7">
        <f t="shared" si="11"/>
        <v>2.1327433628318584</v>
      </c>
      <c r="AQ9" s="13">
        <v>66.200000000000017</v>
      </c>
      <c r="AR9" s="7">
        <f t="shared" si="12"/>
        <v>1.9920903954802269</v>
      </c>
      <c r="AS9" s="13">
        <v>60.416666666666693</v>
      </c>
      <c r="AT9" s="7">
        <f t="shared" si="12"/>
        <v>-8.7361530715004812E-2</v>
      </c>
      <c r="AU9" s="13">
        <v>90</v>
      </c>
      <c r="AV9" s="7">
        <f t="shared" si="12"/>
        <v>0.48965517241379247</v>
      </c>
      <c r="AW9" s="13">
        <v>62</v>
      </c>
      <c r="AX9" s="7">
        <f t="shared" si="12"/>
        <v>-0.31111111111111112</v>
      </c>
      <c r="AY9" s="13">
        <v>56.25</v>
      </c>
      <c r="AZ9" s="7">
        <f t="shared" si="13"/>
        <v>-9.2741935483871038E-2</v>
      </c>
      <c r="BA9" s="13">
        <v>68.181818181818215</v>
      </c>
      <c r="BB9" s="7">
        <f t="shared" si="13"/>
        <v>0.21212121212121274</v>
      </c>
      <c r="BC9" s="13">
        <v>24.142857142857139</v>
      </c>
      <c r="BD9" s="7">
        <f t="shared" si="14"/>
        <v>-0.64590476190476209</v>
      </c>
      <c r="BE9" s="13">
        <v>9.2307692307692282</v>
      </c>
      <c r="BF9" s="7">
        <f t="shared" si="15"/>
        <v>-0.61766044606281301</v>
      </c>
      <c r="BG9" s="13">
        <v>6.1428571428571406</v>
      </c>
      <c r="BH9" s="7">
        <f t="shared" si="16"/>
        <v>-0.3345238095238095</v>
      </c>
      <c r="BI9" s="13">
        <v>6.7727272727272743</v>
      </c>
      <c r="BJ9" s="7">
        <f t="shared" si="17"/>
        <v>0.10253699788583574</v>
      </c>
      <c r="BK9" s="13">
        <v>6.4545454545454595</v>
      </c>
      <c r="BL9" s="7">
        <f t="shared" si="18"/>
        <v>-4.6979865771811548E-2</v>
      </c>
      <c r="BM9" s="13">
        <v>14.36363636363637</v>
      </c>
      <c r="BN9" s="7">
        <f t="shared" si="18"/>
        <v>1.2253521126760554</v>
      </c>
      <c r="BO9" s="13">
        <v>14.076923076923082</v>
      </c>
      <c r="BP9" s="7">
        <f t="shared" si="18"/>
        <v>-1.9961051606621254E-2</v>
      </c>
      <c r="BQ9" s="13">
        <v>11.8125</v>
      </c>
      <c r="BR9" s="7">
        <f t="shared" si="18"/>
        <v>-0.16086065573770525</v>
      </c>
      <c r="BS9" s="13">
        <v>11.5</v>
      </c>
      <c r="BT9" s="7">
        <f t="shared" si="18"/>
        <v>-2.6455026455026457E-2</v>
      </c>
      <c r="BU9" s="13">
        <v>9.203125</v>
      </c>
      <c r="BV9" s="7">
        <f t="shared" si="18"/>
        <v>-0.19972826086956516</v>
      </c>
      <c r="BW9" s="17">
        <v>8.5625</v>
      </c>
      <c r="BX9" s="7">
        <f t="shared" si="19"/>
        <v>-6.9609507640067958E-2</v>
      </c>
      <c r="BY9" s="8">
        <f t="shared" si="20"/>
        <v>2.3414634146341462</v>
      </c>
    </row>
    <row r="10" spans="1:77" x14ac:dyDescent="0.25">
      <c r="A10" s="5" t="s">
        <v>143</v>
      </c>
      <c r="B10" s="5" t="s">
        <v>19</v>
      </c>
      <c r="C10" s="5" t="s">
        <v>17</v>
      </c>
      <c r="D10" s="5" t="s">
        <v>20</v>
      </c>
      <c r="E10" s="5" t="s">
        <v>104</v>
      </c>
      <c r="F10" s="10">
        <v>4.875</v>
      </c>
      <c r="G10" s="6">
        <v>7</v>
      </c>
      <c r="H10" s="7">
        <f t="shared" si="0"/>
        <v>0.4358974358974359</v>
      </c>
      <c r="I10" s="6">
        <v>5.46875</v>
      </c>
      <c r="J10" s="7">
        <f t="shared" si="1"/>
        <v>-0.21875</v>
      </c>
      <c r="K10" s="6">
        <v>5.46875</v>
      </c>
      <c r="L10" s="7">
        <f t="shared" si="1"/>
        <v>0</v>
      </c>
      <c r="M10" s="11">
        <v>25</v>
      </c>
      <c r="N10" s="7">
        <f t="shared" si="2"/>
        <v>3.5714285714285712</v>
      </c>
      <c r="O10" s="11">
        <v>27.5</v>
      </c>
      <c r="P10" s="7">
        <f t="shared" si="3"/>
        <v>0.10000000000000014</v>
      </c>
      <c r="Q10" s="11">
        <v>31.25</v>
      </c>
      <c r="R10" s="7">
        <f t="shared" si="4"/>
        <v>0.13636363636363641</v>
      </c>
      <c r="S10" s="12">
        <v>19.5</v>
      </c>
      <c r="T10" s="7">
        <f t="shared" si="5"/>
        <v>-0.376</v>
      </c>
      <c r="U10" s="11">
        <v>17</v>
      </c>
      <c r="V10" s="7">
        <f t="shared" si="6"/>
        <v>-0.12820512820512817</v>
      </c>
      <c r="W10" s="11">
        <v>17.25</v>
      </c>
      <c r="X10" s="7">
        <f t="shared" si="7"/>
        <v>1.4705882352941159E-2</v>
      </c>
      <c r="Y10" s="13">
        <v>15</v>
      </c>
      <c r="Z10" s="7">
        <f t="shared" si="8"/>
        <v>-0.13043478260869562</v>
      </c>
      <c r="AA10" s="13">
        <v>19.25</v>
      </c>
      <c r="AB10" s="7">
        <f t="shared" si="9"/>
        <v>0.28333333333333344</v>
      </c>
      <c r="AC10" s="13">
        <v>38.9375</v>
      </c>
      <c r="AD10" s="7">
        <f t="shared" si="10"/>
        <v>1.0227272727272727</v>
      </c>
      <c r="AE10" s="13">
        <v>25</v>
      </c>
      <c r="AF10" s="7">
        <f t="shared" si="11"/>
        <v>-0.3579454253611557</v>
      </c>
      <c r="AG10" s="13">
        <v>64.464285714285765</v>
      </c>
      <c r="AH10" s="7">
        <f t="shared" si="11"/>
        <v>1.5785714285714305</v>
      </c>
      <c r="AI10" s="13">
        <v>40.863636363636346</v>
      </c>
      <c r="AJ10" s="7">
        <f t="shared" si="11"/>
        <v>-0.3661042558549491</v>
      </c>
      <c r="AK10" s="13">
        <v>20.5</v>
      </c>
      <c r="AL10" s="7">
        <f t="shared" si="11"/>
        <v>-0.49833147942157929</v>
      </c>
      <c r="AM10" s="13">
        <v>10.875</v>
      </c>
      <c r="AN10" s="7">
        <f t="shared" si="11"/>
        <v>-0.46951219512195119</v>
      </c>
      <c r="AO10" s="13">
        <v>16.625</v>
      </c>
      <c r="AP10" s="7">
        <f t="shared" si="11"/>
        <v>0.52873563218390818</v>
      </c>
      <c r="AQ10" s="13">
        <v>16.625</v>
      </c>
      <c r="AR10" s="7">
        <f t="shared" si="12"/>
        <v>0</v>
      </c>
      <c r="AS10" s="13">
        <v>16.625</v>
      </c>
      <c r="AT10" s="7">
        <f t="shared" si="12"/>
        <v>0</v>
      </c>
      <c r="AU10" s="13">
        <v>140</v>
      </c>
      <c r="AV10" s="7">
        <f t="shared" si="12"/>
        <v>7.4210526315789469</v>
      </c>
      <c r="AW10" s="13">
        <v>140</v>
      </c>
      <c r="AX10" s="7">
        <f t="shared" si="12"/>
        <v>0</v>
      </c>
      <c r="AY10" s="13">
        <v>60</v>
      </c>
      <c r="AZ10" s="7">
        <f t="shared" si="13"/>
        <v>-0.57142857142857151</v>
      </c>
      <c r="BA10" s="13">
        <v>67.857142857142875</v>
      </c>
      <c r="BB10" s="7">
        <f t="shared" si="13"/>
        <v>0.13095238095238115</v>
      </c>
      <c r="BC10" s="13">
        <v>27.821428571428562</v>
      </c>
      <c r="BD10" s="7">
        <f t="shared" si="14"/>
        <v>-0.59000000000000019</v>
      </c>
      <c r="BE10" s="13">
        <v>12.384615384615376</v>
      </c>
      <c r="BF10" s="7">
        <f t="shared" si="15"/>
        <v>-0.55485336229880533</v>
      </c>
      <c r="BG10" s="13">
        <v>10.797619047619042</v>
      </c>
      <c r="BH10" s="7">
        <f t="shared" si="16"/>
        <v>-0.12814256137237492</v>
      </c>
      <c r="BI10" s="13">
        <v>10.742424242424248</v>
      </c>
      <c r="BJ10" s="7">
        <f t="shared" si="17"/>
        <v>-5.111757041193812E-3</v>
      </c>
      <c r="BK10" s="13">
        <v>10.03055555555556</v>
      </c>
      <c r="BL10" s="7">
        <f t="shared" si="18"/>
        <v>-6.6267042783262731E-2</v>
      </c>
      <c r="BM10" s="13">
        <v>14.83888888888889</v>
      </c>
      <c r="BN10" s="7">
        <f t="shared" si="18"/>
        <v>0.47936859595679804</v>
      </c>
      <c r="BO10" s="13">
        <v>13.371428571428568</v>
      </c>
      <c r="BP10" s="7">
        <f t="shared" si="18"/>
        <v>-9.8892870513986542E-2</v>
      </c>
      <c r="BQ10" s="13">
        <v>14.046875</v>
      </c>
      <c r="BR10" s="7">
        <f t="shared" si="18"/>
        <v>5.0514155982906317E-2</v>
      </c>
      <c r="BS10" s="13">
        <v>13.09375</v>
      </c>
      <c r="BT10" s="7">
        <f t="shared" si="18"/>
        <v>-6.7853170189098935E-2</v>
      </c>
      <c r="BU10" s="13">
        <v>11.8125</v>
      </c>
      <c r="BV10" s="7">
        <f t="shared" si="18"/>
        <v>-9.7852028639618144E-2</v>
      </c>
      <c r="BW10" s="17">
        <v>11.75</v>
      </c>
      <c r="BX10" s="7">
        <f t="shared" si="19"/>
        <v>-5.2910052910053193E-3</v>
      </c>
      <c r="BY10" s="8">
        <f t="shared" si="20"/>
        <v>1.4102564102564101</v>
      </c>
    </row>
    <row r="11" spans="1:77" x14ac:dyDescent="0.25">
      <c r="A11" s="5" t="s">
        <v>144</v>
      </c>
      <c r="B11" s="5" t="s">
        <v>21</v>
      </c>
      <c r="C11" s="5" t="s">
        <v>17</v>
      </c>
      <c r="D11" s="5" t="s">
        <v>22</v>
      </c>
      <c r="E11" s="5" t="s">
        <v>104</v>
      </c>
      <c r="F11" s="10">
        <v>5</v>
      </c>
      <c r="G11" s="6">
        <v>6.75</v>
      </c>
      <c r="H11" s="7">
        <f t="shared" si="0"/>
        <v>0.35</v>
      </c>
      <c r="I11" s="6">
        <v>5.125</v>
      </c>
      <c r="J11" s="7">
        <f t="shared" si="1"/>
        <v>-0.24074074074074076</v>
      </c>
      <c r="K11" s="6">
        <v>6.75</v>
      </c>
      <c r="L11" s="7">
        <f t="shared" si="1"/>
        <v>0.31707317073170743</v>
      </c>
      <c r="M11" s="11">
        <v>5.2826086956521756</v>
      </c>
      <c r="N11" s="7">
        <f t="shared" si="2"/>
        <v>-0.2173913043478258</v>
      </c>
      <c r="O11" s="11">
        <v>7.8260869565217428</v>
      </c>
      <c r="P11" s="7">
        <f t="shared" si="3"/>
        <v>0.48148148148148151</v>
      </c>
      <c r="Q11" s="11">
        <v>9.0978260869565215</v>
      </c>
      <c r="R11" s="7">
        <f t="shared" si="4"/>
        <v>0.16249999999999942</v>
      </c>
      <c r="S11" s="12">
        <v>9.9782608695652115</v>
      </c>
      <c r="T11" s="7">
        <f t="shared" si="5"/>
        <v>9.6774193548386622E-2</v>
      </c>
      <c r="U11" s="11">
        <v>8.8043478260869588</v>
      </c>
      <c r="V11" s="7">
        <f t="shared" si="6"/>
        <v>-0.11764705882352872</v>
      </c>
      <c r="W11" s="11">
        <v>9.9782608695652115</v>
      </c>
      <c r="X11" s="7">
        <f t="shared" si="7"/>
        <v>0.13333333333333244</v>
      </c>
      <c r="Y11" s="13">
        <v>11.152173913043482</v>
      </c>
      <c r="Z11" s="7">
        <f t="shared" si="8"/>
        <v>0.11764705882353056</v>
      </c>
      <c r="AA11" s="13">
        <v>23.771739130434781</v>
      </c>
      <c r="AB11" s="7">
        <f t="shared" si="9"/>
        <v>1.1315789473684204</v>
      </c>
      <c r="AC11" s="13">
        <v>71.682065217391298</v>
      </c>
      <c r="AD11" s="7">
        <f t="shared" si="10"/>
        <v>2.0154320987654319</v>
      </c>
      <c r="AE11" s="13">
        <v>99.489130434782552</v>
      </c>
      <c r="AF11" s="7">
        <f t="shared" si="11"/>
        <v>0.38792221084953893</v>
      </c>
      <c r="AG11" s="13">
        <v>83.934782608695656</v>
      </c>
      <c r="AH11" s="7">
        <f t="shared" si="11"/>
        <v>-0.15634218289085497</v>
      </c>
      <c r="AI11" s="13">
        <v>71.021739130434796</v>
      </c>
      <c r="AJ11" s="7">
        <f t="shared" si="11"/>
        <v>-0.15384615384615372</v>
      </c>
      <c r="AK11" s="13">
        <v>18.862648221343878</v>
      </c>
      <c r="AL11" s="7">
        <f t="shared" si="11"/>
        <v>-0.73441021788129224</v>
      </c>
      <c r="AM11" s="13">
        <v>7.3369565217391273</v>
      </c>
      <c r="AN11" s="7">
        <f t="shared" si="11"/>
        <v>-0.61103253182461126</v>
      </c>
      <c r="AO11" s="13">
        <v>11.386956521739135</v>
      </c>
      <c r="AP11" s="7">
        <f t="shared" si="11"/>
        <v>0.55200000000000127</v>
      </c>
      <c r="AQ11" s="13">
        <v>22.863354037267076</v>
      </c>
      <c r="AR11" s="7">
        <f t="shared" si="12"/>
        <v>1.007854688267058</v>
      </c>
      <c r="AS11" s="13">
        <v>36.911180124223613</v>
      </c>
      <c r="AT11" s="7">
        <f t="shared" si="12"/>
        <v>0.61442542787286125</v>
      </c>
      <c r="AU11" s="13">
        <v>59.613712374581894</v>
      </c>
      <c r="AV11" s="7">
        <f t="shared" si="12"/>
        <v>0.61505842332739036</v>
      </c>
      <c r="AW11" s="13">
        <v>86.827639751552837</v>
      </c>
      <c r="AX11" s="7">
        <f t="shared" si="12"/>
        <v>0.45650449020810213</v>
      </c>
      <c r="AY11" s="13">
        <v>105.65217391304348</v>
      </c>
      <c r="AZ11" s="7">
        <f t="shared" si="13"/>
        <v>0.21680347658136115</v>
      </c>
      <c r="BA11" s="13">
        <v>75.237154150197568</v>
      </c>
      <c r="BB11" s="7">
        <f t="shared" si="13"/>
        <v>-0.28787878787878851</v>
      </c>
      <c r="BC11" s="13">
        <v>36.27391304347826</v>
      </c>
      <c r="BD11" s="7">
        <f t="shared" si="14"/>
        <v>-0.51787234042553154</v>
      </c>
      <c r="BE11" s="13">
        <v>10.565217391304353</v>
      </c>
      <c r="BF11" s="7">
        <f t="shared" si="15"/>
        <v>-0.7087378640776697</v>
      </c>
      <c r="BG11" s="13">
        <v>11.445652173913045</v>
      </c>
      <c r="BH11" s="7">
        <f t="shared" si="16"/>
        <v>8.3333333333332996E-2</v>
      </c>
      <c r="BI11" s="13">
        <v>11.33333333333333</v>
      </c>
      <c r="BJ11" s="7">
        <f t="shared" si="17"/>
        <v>-9.8132320354545749E-3</v>
      </c>
      <c r="BK11" s="13">
        <v>10</v>
      </c>
      <c r="BL11" s="7">
        <f t="shared" si="18"/>
        <v>-0.11764705882352927</v>
      </c>
      <c r="BM11" s="13">
        <v>21.75</v>
      </c>
      <c r="BN11" s="7">
        <f t="shared" si="18"/>
        <v>1.1749999999999998</v>
      </c>
      <c r="BO11" s="13">
        <v>13.75</v>
      </c>
      <c r="BP11" s="7">
        <f t="shared" si="18"/>
        <v>-0.36781609195402298</v>
      </c>
      <c r="BQ11" s="13">
        <v>12.800000000000006</v>
      </c>
      <c r="BR11" s="7">
        <f t="shared" si="18"/>
        <v>-6.9090909090908634E-2</v>
      </c>
      <c r="BS11" s="13">
        <v>10.78125</v>
      </c>
      <c r="BT11" s="7">
        <f t="shared" si="18"/>
        <v>-0.15771484375000042</v>
      </c>
      <c r="BU11" s="13">
        <v>10.0625</v>
      </c>
      <c r="BV11" s="7">
        <f t="shared" si="18"/>
        <v>-6.6666666666666707E-2</v>
      </c>
      <c r="BW11" s="17">
        <v>12.09375</v>
      </c>
      <c r="BX11" s="7">
        <f t="shared" si="19"/>
        <v>0.20186335403726716</v>
      </c>
      <c r="BY11" s="8">
        <f t="shared" si="20"/>
        <v>1.4187500000000002</v>
      </c>
    </row>
    <row r="12" spans="1:77" x14ac:dyDescent="0.25">
      <c r="A12" s="5" t="s">
        <v>145</v>
      </c>
      <c r="B12" s="5" t="s">
        <v>23</v>
      </c>
      <c r="C12" s="5" t="s">
        <v>17</v>
      </c>
      <c r="D12" s="5" t="s">
        <v>24</v>
      </c>
      <c r="E12" s="5" t="s">
        <v>104</v>
      </c>
      <c r="F12" s="10">
        <v>3.875</v>
      </c>
      <c r="G12" s="6">
        <v>5.875</v>
      </c>
      <c r="H12" s="7">
        <f t="shared" si="0"/>
        <v>0.51612903225806461</v>
      </c>
      <c r="I12" s="6">
        <v>4</v>
      </c>
      <c r="J12" s="7">
        <f t="shared" si="1"/>
        <v>-0.31914893617021278</v>
      </c>
      <c r="K12" s="6">
        <v>6</v>
      </c>
      <c r="L12" s="7">
        <f t="shared" si="1"/>
        <v>0.5</v>
      </c>
      <c r="M12" s="11">
        <v>6</v>
      </c>
      <c r="N12" s="7">
        <f t="shared" si="2"/>
        <v>0</v>
      </c>
      <c r="O12" s="11">
        <v>15</v>
      </c>
      <c r="P12" s="7">
        <f t="shared" si="3"/>
        <v>1.5</v>
      </c>
      <c r="Q12" s="11">
        <v>20.25</v>
      </c>
      <c r="R12" s="7">
        <f t="shared" si="4"/>
        <v>0.35</v>
      </c>
      <c r="S12" s="12">
        <v>15.5</v>
      </c>
      <c r="T12" s="7">
        <f t="shared" si="5"/>
        <v>-0.23456790123456797</v>
      </c>
      <c r="U12" s="11">
        <v>10.25</v>
      </c>
      <c r="V12" s="7">
        <f t="shared" si="6"/>
        <v>-0.33870967741935487</v>
      </c>
      <c r="W12" s="11">
        <v>9.75</v>
      </c>
      <c r="X12" s="7">
        <f t="shared" si="7"/>
        <v>-4.8780487804878023E-2</v>
      </c>
      <c r="Y12" s="13">
        <v>8.5</v>
      </c>
      <c r="Z12" s="7">
        <f t="shared" si="8"/>
        <v>-0.12820512820512817</v>
      </c>
      <c r="AA12" s="13">
        <v>13.75</v>
      </c>
      <c r="AB12" s="7">
        <f t="shared" si="9"/>
        <v>0.61764705882352955</v>
      </c>
      <c r="AC12" s="13">
        <v>21.4375</v>
      </c>
      <c r="AD12" s="7">
        <f t="shared" si="10"/>
        <v>0.55909090909090908</v>
      </c>
      <c r="AE12" s="13">
        <v>25.416666666666657</v>
      </c>
      <c r="AF12" s="7">
        <f t="shared" si="11"/>
        <v>0.18561710398445058</v>
      </c>
      <c r="AG12" s="13">
        <v>27.75</v>
      </c>
      <c r="AH12" s="7">
        <f t="shared" si="11"/>
        <v>9.1803278688525017E-2</v>
      </c>
      <c r="AI12" s="13">
        <v>23.54545454545454</v>
      </c>
      <c r="AJ12" s="7">
        <f t="shared" si="11"/>
        <v>-0.15151515151515171</v>
      </c>
      <c r="AK12" s="13">
        <v>28.75</v>
      </c>
      <c r="AL12" s="7">
        <f t="shared" si="11"/>
        <v>0.22104247104247152</v>
      </c>
      <c r="AM12" s="13">
        <v>7.0625</v>
      </c>
      <c r="AN12" s="7">
        <f t="shared" si="11"/>
        <v>-0.75434782608695661</v>
      </c>
      <c r="AO12" s="13">
        <v>17.233333333333345</v>
      </c>
      <c r="AP12" s="7">
        <f t="shared" si="11"/>
        <v>1.4401179941002966</v>
      </c>
      <c r="AQ12" s="13">
        <v>24.5</v>
      </c>
      <c r="AR12" s="7">
        <f t="shared" si="12"/>
        <v>0.42166344294003777</v>
      </c>
      <c r="AS12" s="13">
        <v>34.0625</v>
      </c>
      <c r="AT12" s="7">
        <f t="shared" si="12"/>
        <v>0.3903061224489795</v>
      </c>
      <c r="AU12" s="13">
        <v>36.444444444444443</v>
      </c>
      <c r="AV12" s="7">
        <f t="shared" si="12"/>
        <v>6.9928644240570895E-2</v>
      </c>
      <c r="AW12" s="13">
        <v>45.571428571428591</v>
      </c>
      <c r="AX12" s="7">
        <f t="shared" si="12"/>
        <v>0.25043554006968693</v>
      </c>
      <c r="AY12" s="13">
        <v>52.142857142857125</v>
      </c>
      <c r="AZ12" s="7">
        <f t="shared" si="13"/>
        <v>0.14420062695924685</v>
      </c>
      <c r="BA12" s="13">
        <v>46</v>
      </c>
      <c r="BB12" s="7">
        <f t="shared" si="13"/>
        <v>-0.11780821917808197</v>
      </c>
      <c r="BC12" s="13">
        <v>25.5</v>
      </c>
      <c r="BD12" s="7">
        <f t="shared" si="14"/>
        <v>-0.44565217391304346</v>
      </c>
      <c r="BE12" s="13">
        <v>14.36363636363637</v>
      </c>
      <c r="BF12" s="7">
        <f t="shared" si="15"/>
        <v>-0.43672014260249525</v>
      </c>
      <c r="BG12" s="13">
        <v>9.5833333333333339</v>
      </c>
      <c r="BH12" s="7">
        <f t="shared" si="16"/>
        <v>-0.33280590717299602</v>
      </c>
      <c r="BI12" s="13">
        <v>9.5454545454545432</v>
      </c>
      <c r="BJ12" s="7">
        <f t="shared" si="17"/>
        <v>-3.9525691699607533E-3</v>
      </c>
      <c r="BK12" s="13">
        <v>11</v>
      </c>
      <c r="BL12" s="7">
        <f t="shared" si="18"/>
        <v>0.1523809523809527</v>
      </c>
      <c r="BM12" s="13">
        <v>17.272727272727266</v>
      </c>
      <c r="BN12" s="7">
        <f t="shared" si="18"/>
        <v>0.57024793388429684</v>
      </c>
      <c r="BO12" s="13">
        <v>12.866666666666672</v>
      </c>
      <c r="BP12" s="7">
        <f t="shared" si="18"/>
        <v>-0.25508771929824503</v>
      </c>
      <c r="BQ12" s="13">
        <v>11.307692307692315</v>
      </c>
      <c r="BR12" s="7">
        <f t="shared" si="18"/>
        <v>-0.12116381028298108</v>
      </c>
      <c r="BS12" s="13">
        <v>12.25</v>
      </c>
      <c r="BT12" s="7">
        <f t="shared" si="18"/>
        <v>8.3333333333332579E-2</v>
      </c>
      <c r="BU12" s="13">
        <v>12.078125</v>
      </c>
      <c r="BV12" s="7">
        <f t="shared" si="18"/>
        <v>-1.4030612244898037E-2</v>
      </c>
      <c r="BW12" s="17">
        <v>15.048076923076925</v>
      </c>
      <c r="BX12" s="7">
        <f t="shared" si="19"/>
        <v>0.24589511394168581</v>
      </c>
      <c r="BY12" s="8">
        <f t="shared" si="20"/>
        <v>2.8833746898263031</v>
      </c>
    </row>
    <row r="13" spans="1:77" x14ac:dyDescent="0.25">
      <c r="A13" s="5" t="s">
        <v>146</v>
      </c>
      <c r="B13" s="5" t="s">
        <v>25</v>
      </c>
      <c r="C13" s="5" t="s">
        <v>17</v>
      </c>
      <c r="D13" s="5" t="s">
        <v>26</v>
      </c>
      <c r="E13" s="5" t="s">
        <v>104</v>
      </c>
      <c r="F13" s="10">
        <v>1.125</v>
      </c>
      <c r="G13" s="6">
        <v>3.25</v>
      </c>
      <c r="H13" s="7">
        <f t="shared" si="0"/>
        <v>1.8888888888888886</v>
      </c>
      <c r="I13" s="6">
        <v>4.3333333333333321</v>
      </c>
      <c r="J13" s="7">
        <f t="shared" si="1"/>
        <v>0.33333333333333315</v>
      </c>
      <c r="K13" s="6">
        <v>7.75</v>
      </c>
      <c r="L13" s="7">
        <f t="shared" si="1"/>
        <v>0.78846153846153899</v>
      </c>
      <c r="M13" s="11">
        <v>10</v>
      </c>
      <c r="N13" s="7">
        <f t="shared" si="2"/>
        <v>0.29032258064516125</v>
      </c>
      <c r="O13" s="11">
        <v>14</v>
      </c>
      <c r="P13" s="7">
        <f t="shared" si="3"/>
        <v>0.4</v>
      </c>
      <c r="Q13" s="11">
        <v>14.75</v>
      </c>
      <c r="R13" s="7">
        <f t="shared" si="4"/>
        <v>5.357142857142861E-2</v>
      </c>
      <c r="S13" s="12">
        <v>11.25</v>
      </c>
      <c r="T13" s="7">
        <f t="shared" si="5"/>
        <v>-0.23728813559322035</v>
      </c>
      <c r="U13" s="11">
        <v>10.5</v>
      </c>
      <c r="V13" s="7">
        <f t="shared" si="6"/>
        <v>-6.6666666666666707E-2</v>
      </c>
      <c r="W13" s="11">
        <v>9.5</v>
      </c>
      <c r="X13" s="7">
        <f t="shared" si="7"/>
        <v>-9.5238095238095177E-2</v>
      </c>
      <c r="Y13" s="13">
        <v>6.75</v>
      </c>
      <c r="Z13" s="7">
        <f t="shared" si="8"/>
        <v>-0.28947368421052633</v>
      </c>
      <c r="AA13" s="13">
        <v>10</v>
      </c>
      <c r="AB13" s="7">
        <f t="shared" si="9"/>
        <v>0.48148148148148151</v>
      </c>
      <c r="AC13" s="13">
        <v>16.25</v>
      </c>
      <c r="AD13" s="7">
        <f t="shared" si="10"/>
        <v>0.625</v>
      </c>
      <c r="AE13" s="13">
        <v>26.892857142857139</v>
      </c>
      <c r="AF13" s="7">
        <f t="shared" si="11"/>
        <v>0.65494505494505462</v>
      </c>
      <c r="AG13" s="13">
        <v>32.53125</v>
      </c>
      <c r="AH13" s="7">
        <f t="shared" si="11"/>
        <v>0.20966135458167343</v>
      </c>
      <c r="AI13" s="13">
        <v>38.75</v>
      </c>
      <c r="AJ13" s="7">
        <f t="shared" si="11"/>
        <v>0.19116234390009595</v>
      </c>
      <c r="AK13" s="13">
        <v>22</v>
      </c>
      <c r="AL13" s="7">
        <f t="shared" si="11"/>
        <v>-0.43225806451612903</v>
      </c>
      <c r="AM13" s="13">
        <v>8.75</v>
      </c>
      <c r="AN13" s="7">
        <f t="shared" si="11"/>
        <v>-0.60227272727272729</v>
      </c>
      <c r="AO13" s="13">
        <v>20.733333333333345</v>
      </c>
      <c r="AP13" s="7">
        <f t="shared" si="11"/>
        <v>1.3695238095238107</v>
      </c>
      <c r="AQ13" s="13">
        <v>31</v>
      </c>
      <c r="AR13" s="7">
        <f t="shared" si="12"/>
        <v>0.49517684887459723</v>
      </c>
      <c r="AS13" s="13">
        <v>28.5</v>
      </c>
      <c r="AT13" s="7">
        <f t="shared" si="12"/>
        <v>-8.0645161290322565E-2</v>
      </c>
      <c r="AU13" s="13">
        <v>30.883333333333329</v>
      </c>
      <c r="AV13" s="7">
        <f t="shared" si="12"/>
        <v>8.3625730994151867E-2</v>
      </c>
      <c r="AW13" s="13">
        <v>32.214285714285694</v>
      </c>
      <c r="AX13" s="7">
        <f t="shared" si="12"/>
        <v>4.3096137537583276E-2</v>
      </c>
      <c r="AY13" s="13">
        <v>23.375</v>
      </c>
      <c r="AZ13" s="7">
        <f t="shared" si="13"/>
        <v>-0.2743902439024386</v>
      </c>
      <c r="BA13" s="13">
        <v>14</v>
      </c>
      <c r="BB13" s="7">
        <f t="shared" si="13"/>
        <v>-0.40106951871657759</v>
      </c>
      <c r="BC13" s="13">
        <v>16.846153846153854</v>
      </c>
      <c r="BD13" s="7">
        <f t="shared" si="14"/>
        <v>0.20329670329670393</v>
      </c>
      <c r="BE13" s="13">
        <v>11.461538461538458</v>
      </c>
      <c r="BF13" s="7">
        <f t="shared" si="15"/>
        <v>-0.31963470319634751</v>
      </c>
      <c r="BG13" s="13">
        <v>7.2142857142857162</v>
      </c>
      <c r="BH13" s="7">
        <f t="shared" si="16"/>
        <v>-0.37056567593480305</v>
      </c>
      <c r="BI13" s="13">
        <v>8.3636363636363669</v>
      </c>
      <c r="BJ13" s="7">
        <f t="shared" si="17"/>
        <v>0.15931593159315938</v>
      </c>
      <c r="BK13" s="13">
        <v>9.2727272727272751</v>
      </c>
      <c r="BL13" s="7">
        <f t="shared" si="18"/>
        <v>0.10869565217391283</v>
      </c>
      <c r="BM13" s="13">
        <v>17.63636363636363</v>
      </c>
      <c r="BN13" s="7">
        <f t="shared" si="18"/>
        <v>0.90196078431372428</v>
      </c>
      <c r="BO13" s="13">
        <v>13.333333333333329</v>
      </c>
      <c r="BP13" s="7">
        <f t="shared" si="18"/>
        <v>-0.24398625429553264</v>
      </c>
      <c r="BQ13" s="13">
        <v>11.470588235294125</v>
      </c>
      <c r="BR13" s="7">
        <f t="shared" si="18"/>
        <v>-0.13970588235294032</v>
      </c>
      <c r="BS13" s="13">
        <v>4.96875</v>
      </c>
      <c r="BT13" s="7">
        <f t="shared" si="18"/>
        <v>-0.56682692307692339</v>
      </c>
      <c r="BU13" s="13">
        <v>3.296875</v>
      </c>
      <c r="BV13" s="7">
        <f t="shared" si="18"/>
        <v>-0.33647798742138363</v>
      </c>
      <c r="BW13" s="17">
        <v>3.171875</v>
      </c>
      <c r="BX13" s="7">
        <f t="shared" si="19"/>
        <v>-3.7914691943127965E-2</v>
      </c>
      <c r="BY13" s="8">
        <f t="shared" si="20"/>
        <v>1.8194444444444446</v>
      </c>
    </row>
    <row r="14" spans="1:77" x14ac:dyDescent="0.25">
      <c r="A14" s="5" t="s">
        <v>147</v>
      </c>
      <c r="B14" s="5" t="s">
        <v>27</v>
      </c>
      <c r="C14" s="5" t="s">
        <v>17</v>
      </c>
      <c r="D14" s="5" t="s">
        <v>28</v>
      </c>
      <c r="E14" s="5" t="s">
        <v>104</v>
      </c>
      <c r="F14" s="10">
        <v>3.75</v>
      </c>
      <c r="G14" s="6">
        <v>12</v>
      </c>
      <c r="H14" s="7">
        <f t="shared" si="0"/>
        <v>2.2000000000000002</v>
      </c>
      <c r="I14" s="6">
        <v>12</v>
      </c>
      <c r="J14" s="7">
        <f t="shared" si="1"/>
        <v>0</v>
      </c>
      <c r="K14" s="6">
        <v>11.75</v>
      </c>
      <c r="L14" s="7">
        <f t="shared" si="1"/>
        <v>-2.0833333333333429E-2</v>
      </c>
      <c r="M14" s="11">
        <v>19</v>
      </c>
      <c r="N14" s="7">
        <f t="shared" si="2"/>
        <v>0.61702127659574446</v>
      </c>
      <c r="O14" s="11">
        <v>28.75</v>
      </c>
      <c r="P14" s="7">
        <f t="shared" si="3"/>
        <v>0.51315789473684192</v>
      </c>
      <c r="Q14" s="11">
        <v>31</v>
      </c>
      <c r="R14" s="7">
        <f t="shared" si="4"/>
        <v>7.8260869565217342E-2</v>
      </c>
      <c r="S14" s="12">
        <v>25</v>
      </c>
      <c r="T14" s="7">
        <f t="shared" si="5"/>
        <v>-0.19354838709677424</v>
      </c>
      <c r="U14" s="11">
        <v>27.25</v>
      </c>
      <c r="V14" s="7">
        <f t="shared" si="6"/>
        <v>9.0000000000000135E-2</v>
      </c>
      <c r="W14" s="11">
        <v>24.25</v>
      </c>
      <c r="X14" s="7">
        <f t="shared" si="7"/>
        <v>-0.11009174311926601</v>
      </c>
      <c r="Y14" s="13">
        <v>28.5</v>
      </c>
      <c r="Z14" s="7">
        <f t="shared" si="8"/>
        <v>0.17525773195876299</v>
      </c>
      <c r="AA14" s="13">
        <v>52.25</v>
      </c>
      <c r="AB14" s="7">
        <f t="shared" si="9"/>
        <v>0.83333333333333315</v>
      </c>
      <c r="AC14" s="13">
        <v>291.25</v>
      </c>
      <c r="AD14" s="7">
        <f t="shared" si="10"/>
        <v>4.5741626794258377</v>
      </c>
      <c r="AE14" s="13">
        <v>112.16666666666661</v>
      </c>
      <c r="AF14" s="7">
        <f t="shared" si="11"/>
        <v>-0.61487839771101593</v>
      </c>
      <c r="AG14" s="13">
        <v>86.59375</v>
      </c>
      <c r="AH14" s="7">
        <f t="shared" si="11"/>
        <v>-0.22799034175334285</v>
      </c>
      <c r="AI14" s="13">
        <v>86.692307692307665</v>
      </c>
      <c r="AJ14" s="7">
        <f t="shared" si="11"/>
        <v>1.1381617300054358E-3</v>
      </c>
      <c r="AK14" s="13">
        <v>54.730769230769262</v>
      </c>
      <c r="AL14" s="7">
        <f t="shared" si="11"/>
        <v>-0.36867790594498617</v>
      </c>
      <c r="AM14" s="13">
        <v>33.795454545454533</v>
      </c>
      <c r="AN14" s="7">
        <f t="shared" si="11"/>
        <v>-0.382514533955153</v>
      </c>
      <c r="AO14" s="13">
        <v>33.485714285714273</v>
      </c>
      <c r="AP14" s="7">
        <f t="shared" si="11"/>
        <v>-9.1651455471226488E-3</v>
      </c>
      <c r="AQ14" s="13">
        <v>37.357142857142883</v>
      </c>
      <c r="AR14" s="7">
        <f t="shared" si="12"/>
        <v>0.11561433447099105</v>
      </c>
      <c r="AS14" s="13">
        <v>38</v>
      </c>
      <c r="AT14" s="7">
        <f t="shared" si="12"/>
        <v>1.7208413001911397E-2</v>
      </c>
      <c r="AU14" s="13">
        <v>68.875</v>
      </c>
      <c r="AV14" s="7">
        <f t="shared" si="12"/>
        <v>0.8125</v>
      </c>
      <c r="AW14" s="13">
        <v>51.071428571428598</v>
      </c>
      <c r="AX14" s="7">
        <f t="shared" si="12"/>
        <v>-0.25849105522426724</v>
      </c>
      <c r="AY14" s="13">
        <v>87</v>
      </c>
      <c r="AZ14" s="7">
        <f t="shared" si="13"/>
        <v>0.70349650349650261</v>
      </c>
      <c r="BA14" s="13">
        <v>97.8125</v>
      </c>
      <c r="BB14" s="7">
        <f t="shared" si="13"/>
        <v>0.12428160919540218</v>
      </c>
      <c r="BC14" s="13">
        <v>102.30769230769235</v>
      </c>
      <c r="BD14" s="7">
        <f t="shared" si="14"/>
        <v>4.5957237650528809E-2</v>
      </c>
      <c r="BE14" s="13">
        <v>33</v>
      </c>
      <c r="BF14" s="7">
        <f t="shared" si="15"/>
        <v>-0.67744360902255651</v>
      </c>
      <c r="BG14" s="13">
        <v>15.285714285714281</v>
      </c>
      <c r="BH14" s="7">
        <f t="shared" si="16"/>
        <v>-0.53679653679653694</v>
      </c>
      <c r="BI14" s="13">
        <v>30.090909090909097</v>
      </c>
      <c r="BJ14" s="7">
        <f t="shared" si="17"/>
        <v>0.9685641461342408</v>
      </c>
      <c r="BK14" s="13">
        <v>21.083333333333336</v>
      </c>
      <c r="BL14" s="7">
        <f t="shared" si="18"/>
        <v>-0.29934541792547847</v>
      </c>
      <c r="BM14" s="13">
        <v>50</v>
      </c>
      <c r="BN14" s="7">
        <f t="shared" si="18"/>
        <v>1.3715415019762842</v>
      </c>
      <c r="BO14" s="13">
        <v>38.730769230769262</v>
      </c>
      <c r="BP14" s="7">
        <f t="shared" si="18"/>
        <v>-0.22538461538461477</v>
      </c>
      <c r="BQ14" s="13">
        <v>28.625</v>
      </c>
      <c r="BR14" s="7">
        <f t="shared" si="18"/>
        <v>-0.26092353525322792</v>
      </c>
      <c r="BS14" s="13">
        <v>19.4375</v>
      </c>
      <c r="BT14" s="7">
        <f t="shared" si="18"/>
        <v>-0.32096069868995641</v>
      </c>
      <c r="BU14" s="13">
        <v>10.25</v>
      </c>
      <c r="BV14" s="7">
        <f t="shared" si="18"/>
        <v>-0.47266881028938912</v>
      </c>
      <c r="BW14" s="17">
        <v>17.21875</v>
      </c>
      <c r="BX14" s="7">
        <f t="shared" si="19"/>
        <v>0.67987804878048796</v>
      </c>
      <c r="BY14" s="8">
        <f t="shared" si="20"/>
        <v>3.5916666666666668</v>
      </c>
    </row>
    <row r="15" spans="1:77" x14ac:dyDescent="0.25">
      <c r="A15" s="5" t="s">
        <v>148</v>
      </c>
      <c r="B15" s="5" t="s">
        <v>29</v>
      </c>
      <c r="C15" s="5" t="s">
        <v>17</v>
      </c>
      <c r="D15" s="5" t="s">
        <v>30</v>
      </c>
      <c r="E15" s="5" t="s">
        <v>104</v>
      </c>
      <c r="F15" s="10">
        <v>4</v>
      </c>
      <c r="G15" s="6">
        <v>9</v>
      </c>
      <c r="H15" s="7">
        <f t="shared" si="0"/>
        <v>1.25</v>
      </c>
      <c r="I15" s="6">
        <v>5.6666666666666652</v>
      </c>
      <c r="J15" s="7">
        <f t="shared" si="1"/>
        <v>-0.37037037037037057</v>
      </c>
      <c r="K15" s="6">
        <v>9.75</v>
      </c>
      <c r="L15" s="7">
        <f t="shared" si="1"/>
        <v>0.7205882352941182</v>
      </c>
      <c r="M15" s="11">
        <v>13.5</v>
      </c>
      <c r="N15" s="7">
        <f t="shared" si="2"/>
        <v>0.38461538461538453</v>
      </c>
      <c r="O15" s="11">
        <v>16.666666666666671</v>
      </c>
      <c r="P15" s="7">
        <f t="shared" si="3"/>
        <v>0.23456790123456828</v>
      </c>
      <c r="Q15" s="11">
        <v>21</v>
      </c>
      <c r="R15" s="7">
        <f t="shared" si="4"/>
        <v>0.25999999999999956</v>
      </c>
      <c r="S15" s="12">
        <v>12</v>
      </c>
      <c r="T15" s="7">
        <f t="shared" si="5"/>
        <v>-0.4285714285714286</v>
      </c>
      <c r="U15" s="11">
        <v>9.75</v>
      </c>
      <c r="V15" s="7">
        <f t="shared" si="6"/>
        <v>-0.1875</v>
      </c>
      <c r="W15" s="11">
        <v>10.5</v>
      </c>
      <c r="X15" s="7">
        <f t="shared" si="7"/>
        <v>7.6923076923076927E-2</v>
      </c>
      <c r="Y15" s="13">
        <v>18.5</v>
      </c>
      <c r="Z15" s="7">
        <f t="shared" si="8"/>
        <v>0.76190476190476175</v>
      </c>
      <c r="AA15" s="13">
        <v>14.5</v>
      </c>
      <c r="AB15" s="7">
        <f t="shared" si="9"/>
        <v>-0.21621621621621628</v>
      </c>
      <c r="AC15" s="13">
        <v>87.222222222222186</v>
      </c>
      <c r="AD15" s="7">
        <f t="shared" si="10"/>
        <v>5.0153256704980826</v>
      </c>
      <c r="AE15" s="13">
        <v>48.15625</v>
      </c>
      <c r="AF15" s="7">
        <f t="shared" si="11"/>
        <v>-0.44789012738853484</v>
      </c>
      <c r="AG15" s="13">
        <v>28.3125</v>
      </c>
      <c r="AH15" s="7">
        <f t="shared" si="11"/>
        <v>-0.41207008436080472</v>
      </c>
      <c r="AI15" s="13">
        <v>34.875</v>
      </c>
      <c r="AJ15" s="7">
        <f t="shared" si="11"/>
        <v>0.23178807947019878</v>
      </c>
      <c r="AK15" s="13">
        <v>25</v>
      </c>
      <c r="AL15" s="7">
        <f t="shared" si="11"/>
        <v>-0.28315412186379929</v>
      </c>
      <c r="AM15" s="13">
        <v>11.535714285714279</v>
      </c>
      <c r="AN15" s="7">
        <f t="shared" si="11"/>
        <v>-0.53857142857142881</v>
      </c>
      <c r="AO15" s="13">
        <v>29.950000000000017</v>
      </c>
      <c r="AP15" s="7">
        <f t="shared" si="11"/>
        <v>1.5962848297213652</v>
      </c>
      <c r="AQ15" s="13">
        <v>46.083333333333321</v>
      </c>
      <c r="AR15" s="7">
        <f t="shared" si="12"/>
        <v>0.53867557039510161</v>
      </c>
      <c r="AS15" s="13">
        <v>39.696969696969724</v>
      </c>
      <c r="AT15" s="7">
        <f t="shared" si="12"/>
        <v>-0.13858293605128963</v>
      </c>
      <c r="AU15" s="13">
        <v>49.875</v>
      </c>
      <c r="AV15" s="7">
        <f t="shared" si="12"/>
        <v>0.25639312977099166</v>
      </c>
      <c r="AW15" s="13">
        <v>50.25</v>
      </c>
      <c r="AX15" s="7">
        <f t="shared" si="12"/>
        <v>7.5187969924812139E-3</v>
      </c>
      <c r="AY15" s="13">
        <v>84</v>
      </c>
      <c r="AZ15" s="7">
        <f t="shared" si="13"/>
        <v>0.67164179104477595</v>
      </c>
      <c r="BA15" s="13">
        <v>108</v>
      </c>
      <c r="BB15" s="7">
        <f t="shared" si="13"/>
        <v>0.28571428571428581</v>
      </c>
      <c r="BC15" s="13">
        <v>20.25</v>
      </c>
      <c r="BD15" s="7">
        <f t="shared" si="14"/>
        <v>-0.8125</v>
      </c>
      <c r="BE15" s="13">
        <v>10.272727272727272</v>
      </c>
      <c r="BF15" s="7">
        <f t="shared" si="15"/>
        <v>-0.49270482603815952</v>
      </c>
      <c r="BG15" s="13">
        <v>14.399999999999991</v>
      </c>
      <c r="BH15" s="7">
        <f t="shared" si="16"/>
        <v>0.40176991150442432</v>
      </c>
      <c r="BI15" s="13">
        <v>19.75</v>
      </c>
      <c r="BJ15" s="7">
        <f t="shared" si="17"/>
        <v>0.37152777777777857</v>
      </c>
      <c r="BK15" s="13">
        <v>15.333333333333327</v>
      </c>
      <c r="BL15" s="7">
        <f t="shared" si="18"/>
        <v>-0.22362869198312268</v>
      </c>
      <c r="BM15" s="13">
        <v>33.600000000000009</v>
      </c>
      <c r="BN15" s="7">
        <f t="shared" si="18"/>
        <v>1.1913043478260885</v>
      </c>
      <c r="BO15" s="13">
        <v>23.076923076923084</v>
      </c>
      <c r="BP15" s="7">
        <f t="shared" si="18"/>
        <v>-0.31318681318681313</v>
      </c>
      <c r="BQ15" s="13">
        <v>25.666666666666657</v>
      </c>
      <c r="BR15" s="7">
        <f t="shared" si="18"/>
        <v>0.11222222222222157</v>
      </c>
      <c r="BS15" s="13">
        <v>24.125</v>
      </c>
      <c r="BT15" s="7">
        <f t="shared" si="18"/>
        <v>-6.0064935064934703E-2</v>
      </c>
      <c r="BU15" s="13">
        <v>18.21875</v>
      </c>
      <c r="BV15" s="7">
        <f t="shared" si="18"/>
        <v>-0.24481865284974091</v>
      </c>
      <c r="BW15" s="17">
        <v>24.078125</v>
      </c>
      <c r="BX15" s="7">
        <f t="shared" si="19"/>
        <v>0.32161234991423671</v>
      </c>
      <c r="BY15" s="8">
        <f t="shared" si="20"/>
        <v>5.01953125</v>
      </c>
    </row>
    <row r="16" spans="1:77" x14ac:dyDescent="0.25">
      <c r="A16" s="5" t="s">
        <v>149</v>
      </c>
      <c r="B16" s="5" t="s">
        <v>31</v>
      </c>
      <c r="C16" s="5" t="s">
        <v>17</v>
      </c>
      <c r="D16" s="5" t="s">
        <v>32</v>
      </c>
      <c r="E16" s="5" t="s">
        <v>104</v>
      </c>
      <c r="F16" s="10">
        <v>1.5625</v>
      </c>
      <c r="G16" s="6">
        <v>4.0625</v>
      </c>
      <c r="H16" s="7">
        <f t="shared" si="0"/>
        <v>1.6</v>
      </c>
      <c r="I16" s="6">
        <v>4.5</v>
      </c>
      <c r="J16" s="7">
        <f t="shared" si="1"/>
        <v>0.10769230769230774</v>
      </c>
      <c r="K16" s="6">
        <v>9.25</v>
      </c>
      <c r="L16" s="7">
        <f t="shared" si="1"/>
        <v>1.0555555555555554</v>
      </c>
      <c r="M16" s="11">
        <v>11.5</v>
      </c>
      <c r="N16" s="7">
        <f t="shared" si="2"/>
        <v>0.24324324324324323</v>
      </c>
      <c r="O16" s="11">
        <v>9</v>
      </c>
      <c r="P16" s="7">
        <f t="shared" si="3"/>
        <v>-0.21739130434782608</v>
      </c>
      <c r="Q16" s="11">
        <v>12.25</v>
      </c>
      <c r="R16" s="7">
        <f t="shared" si="4"/>
        <v>0.36111111111111116</v>
      </c>
      <c r="S16" s="12">
        <v>9.5</v>
      </c>
      <c r="T16" s="7">
        <f t="shared" si="5"/>
        <v>-0.22448979591836732</v>
      </c>
      <c r="U16" s="11">
        <v>9</v>
      </c>
      <c r="V16" s="7">
        <f t="shared" si="6"/>
        <v>-5.2631578947368494E-2</v>
      </c>
      <c r="W16" s="11">
        <v>9.75</v>
      </c>
      <c r="X16" s="7">
        <f t="shared" si="7"/>
        <v>8.3333333333333287E-2</v>
      </c>
      <c r="Y16" s="13">
        <v>8</v>
      </c>
      <c r="Z16" s="7">
        <f t="shared" si="8"/>
        <v>-0.17948717948717957</v>
      </c>
      <c r="AA16" s="13">
        <v>14.75</v>
      </c>
      <c r="AB16" s="7">
        <f t="shared" si="9"/>
        <v>0.84375</v>
      </c>
      <c r="AC16" s="13">
        <v>21.284722222222214</v>
      </c>
      <c r="AD16" s="7">
        <f t="shared" si="10"/>
        <v>0.44303201506591278</v>
      </c>
      <c r="AE16" s="13">
        <v>19.9375</v>
      </c>
      <c r="AF16" s="7">
        <f t="shared" si="11"/>
        <v>-6.3295269168025789E-2</v>
      </c>
      <c r="AG16" s="13">
        <v>32.44607843137257</v>
      </c>
      <c r="AH16" s="7">
        <f t="shared" si="11"/>
        <v>0.62738951379925112</v>
      </c>
      <c r="AI16" s="13">
        <v>38.625</v>
      </c>
      <c r="AJ16" s="7">
        <f t="shared" si="11"/>
        <v>0.19043662184619947</v>
      </c>
      <c r="AK16" s="13">
        <v>18.600000000000012</v>
      </c>
      <c r="AL16" s="7">
        <f t="shared" si="11"/>
        <v>-0.51844660194174719</v>
      </c>
      <c r="AM16" s="13">
        <v>9.25</v>
      </c>
      <c r="AN16" s="7">
        <f t="shared" si="11"/>
        <v>-0.50268817204301108</v>
      </c>
      <c r="AO16" s="13">
        <v>12.777777777777773</v>
      </c>
      <c r="AP16" s="7">
        <f t="shared" si="11"/>
        <v>0.38138138138138089</v>
      </c>
      <c r="AQ16" s="13">
        <v>17.6111111111111</v>
      </c>
      <c r="AR16" s="7">
        <f t="shared" si="12"/>
        <v>0.37826086956521693</v>
      </c>
      <c r="AS16" s="13">
        <v>27.035714285714302</v>
      </c>
      <c r="AT16" s="7">
        <f t="shared" si="12"/>
        <v>0.53515096890491409</v>
      </c>
      <c r="AU16" s="13">
        <v>46.378787878787904</v>
      </c>
      <c r="AV16" s="7">
        <f t="shared" si="12"/>
        <v>0.71546375245186311</v>
      </c>
      <c r="AW16" s="13">
        <v>68.630952380952351</v>
      </c>
      <c r="AX16" s="7">
        <f t="shared" si="12"/>
        <v>0.47979185140243458</v>
      </c>
      <c r="AY16" s="13">
        <v>46.25</v>
      </c>
      <c r="AZ16" s="7">
        <f t="shared" si="13"/>
        <v>-0.32610581092801355</v>
      </c>
      <c r="BA16" s="13">
        <v>28.36363636363637</v>
      </c>
      <c r="BB16" s="7">
        <f t="shared" si="13"/>
        <v>-0.38673218673218657</v>
      </c>
      <c r="BC16" s="13">
        <v>18.600000000000012</v>
      </c>
      <c r="BD16" s="7">
        <f t="shared" si="14"/>
        <v>-0.34423076923076906</v>
      </c>
      <c r="BE16" s="13">
        <v>10.846153846153848</v>
      </c>
      <c r="BF16" s="7">
        <f t="shared" si="15"/>
        <v>-0.41687344913151392</v>
      </c>
      <c r="BG16" s="13">
        <v>8.3076923076923137</v>
      </c>
      <c r="BH16" s="7">
        <f t="shared" si="16"/>
        <v>-0.23404255319148887</v>
      </c>
      <c r="BI16" s="13">
        <v>6.7272727272727266</v>
      </c>
      <c r="BJ16" s="7">
        <f t="shared" si="17"/>
        <v>-0.19023569023569081</v>
      </c>
      <c r="BK16" s="13">
        <v>8.3333333333333357</v>
      </c>
      <c r="BL16" s="7">
        <f t="shared" si="18"/>
        <v>0.23873873873873919</v>
      </c>
      <c r="BM16" s="13">
        <v>15.692307692307683</v>
      </c>
      <c r="BN16" s="7">
        <f t="shared" si="18"/>
        <v>0.88307692307692121</v>
      </c>
      <c r="BO16" s="13">
        <v>12.100000000000005</v>
      </c>
      <c r="BP16" s="7">
        <f t="shared" si="18"/>
        <v>-0.22892156862745011</v>
      </c>
      <c r="BQ16" s="13">
        <v>14.307692307692317</v>
      </c>
      <c r="BR16" s="7">
        <f t="shared" si="18"/>
        <v>0.18245390972663728</v>
      </c>
      <c r="BS16" s="13">
        <v>9.96875</v>
      </c>
      <c r="BT16" s="7">
        <f t="shared" si="18"/>
        <v>-0.303259408602151</v>
      </c>
      <c r="BU16" s="13">
        <v>11.140625</v>
      </c>
      <c r="BV16" s="7">
        <f t="shared" si="18"/>
        <v>0.11755485893416932</v>
      </c>
      <c r="BW16" s="17">
        <v>11.9375</v>
      </c>
      <c r="BX16" s="7">
        <f t="shared" si="19"/>
        <v>7.152875175315572E-2</v>
      </c>
      <c r="BY16" s="8">
        <f t="shared" si="20"/>
        <v>6.64</v>
      </c>
    </row>
    <row r="17" spans="1:77" x14ac:dyDescent="0.25">
      <c r="A17" s="5" t="s">
        <v>150</v>
      </c>
      <c r="B17" s="5" t="s">
        <v>33</v>
      </c>
      <c r="C17" s="5" t="s">
        <v>17</v>
      </c>
      <c r="D17" s="5" t="s">
        <v>34</v>
      </c>
      <c r="E17" s="5" t="s">
        <v>104</v>
      </c>
      <c r="F17" s="10">
        <v>3.625</v>
      </c>
      <c r="G17" s="6">
        <v>5.25</v>
      </c>
      <c r="H17" s="7">
        <f t="shared" si="0"/>
        <v>0.44827586206896541</v>
      </c>
      <c r="I17" s="6">
        <v>4</v>
      </c>
      <c r="J17" s="7">
        <f t="shared" si="1"/>
        <v>-0.23809523809523811</v>
      </c>
      <c r="K17" s="6">
        <v>4.75</v>
      </c>
      <c r="L17" s="7">
        <f t="shared" si="1"/>
        <v>0.1875</v>
      </c>
      <c r="M17" s="11">
        <v>18.75</v>
      </c>
      <c r="N17" s="7">
        <f t="shared" si="2"/>
        <v>2.9473684210526314</v>
      </c>
      <c r="O17" s="11">
        <v>36.666666666666664</v>
      </c>
      <c r="P17" s="7">
        <f t="shared" si="3"/>
        <v>0.95555555555555538</v>
      </c>
      <c r="Q17" s="11">
        <v>33.75</v>
      </c>
      <c r="R17" s="7">
        <f t="shared" si="4"/>
        <v>-7.954545454545453E-2</v>
      </c>
      <c r="S17" s="12">
        <v>19.714285714285708</v>
      </c>
      <c r="T17" s="7">
        <f t="shared" si="5"/>
        <v>-0.41587301587301601</v>
      </c>
      <c r="U17" s="11">
        <v>10.125</v>
      </c>
      <c r="V17" s="7">
        <f t="shared" si="6"/>
        <v>-0.48641304347826081</v>
      </c>
      <c r="W17" s="11">
        <v>4.75</v>
      </c>
      <c r="X17" s="7">
        <f t="shared" si="7"/>
        <v>-0.53086419753086422</v>
      </c>
      <c r="Y17" s="13">
        <v>6.625</v>
      </c>
      <c r="Z17" s="7">
        <f t="shared" si="8"/>
        <v>0.394736842105263</v>
      </c>
      <c r="AA17" s="13">
        <v>9</v>
      </c>
      <c r="AB17" s="7">
        <f t="shared" si="9"/>
        <v>0.35849056603773588</v>
      </c>
      <c r="AC17" s="13">
        <v>34.743055555555557</v>
      </c>
      <c r="AD17" s="7">
        <f t="shared" si="10"/>
        <v>2.8603395061728403</v>
      </c>
      <c r="AE17" s="13">
        <v>96.328125</v>
      </c>
      <c r="AF17" s="7">
        <f t="shared" si="11"/>
        <v>1.7725864481311209</v>
      </c>
      <c r="AG17" s="13">
        <v>51.049999999999976</v>
      </c>
      <c r="AH17" s="7">
        <f t="shared" si="11"/>
        <v>-0.4700405515004058</v>
      </c>
      <c r="AI17" s="13">
        <v>34.605769230769255</v>
      </c>
      <c r="AJ17" s="7">
        <f t="shared" si="11"/>
        <v>-0.32212009342273701</v>
      </c>
      <c r="AK17" s="13">
        <v>16</v>
      </c>
      <c r="AL17" s="7">
        <f t="shared" si="11"/>
        <v>-0.53764934704084499</v>
      </c>
      <c r="AM17" s="13">
        <v>5.3611111111111134</v>
      </c>
      <c r="AN17" s="7">
        <f t="shared" si="11"/>
        <v>-0.66493055555555547</v>
      </c>
      <c r="AO17" s="13">
        <v>13.699999999999992</v>
      </c>
      <c r="AP17" s="7">
        <f t="shared" si="11"/>
        <v>1.5554404145077694</v>
      </c>
      <c r="AQ17" s="13">
        <v>36.944444444444436</v>
      </c>
      <c r="AR17" s="7">
        <f t="shared" si="12"/>
        <v>1.6966747769667483</v>
      </c>
      <c r="AS17" s="13">
        <v>106.25</v>
      </c>
      <c r="AT17" s="7">
        <f t="shared" si="12"/>
        <v>1.8759398496240607</v>
      </c>
      <c r="AU17" s="13">
        <v>240.35714285714292</v>
      </c>
      <c r="AV17" s="7">
        <f t="shared" si="12"/>
        <v>1.2621848739495802</v>
      </c>
      <c r="AW17" s="13">
        <v>171.66666666666671</v>
      </c>
      <c r="AX17" s="7">
        <f t="shared" si="12"/>
        <v>-0.28578504210004951</v>
      </c>
      <c r="AY17" s="13">
        <v>86</v>
      </c>
      <c r="AZ17" s="7">
        <f t="shared" si="13"/>
        <v>-0.49902912621359241</v>
      </c>
      <c r="BA17" s="13">
        <v>60.5</v>
      </c>
      <c r="BB17" s="7">
        <f t="shared" si="13"/>
        <v>-0.29651162790697666</v>
      </c>
      <c r="BC17" s="13">
        <v>22</v>
      </c>
      <c r="BD17" s="7">
        <f t="shared" si="14"/>
        <v>-0.63636363636363635</v>
      </c>
      <c r="BE17" s="13">
        <v>4.7884615384615383</v>
      </c>
      <c r="BF17" s="7">
        <f t="shared" si="15"/>
        <v>-0.78234265734265729</v>
      </c>
      <c r="BG17" s="13">
        <v>3.0192307692307701</v>
      </c>
      <c r="BH17" s="7">
        <f t="shared" si="16"/>
        <v>-0.36947791164658617</v>
      </c>
      <c r="BI17" s="13">
        <v>3.318181818181817</v>
      </c>
      <c r="BJ17" s="7">
        <f t="shared" si="17"/>
        <v>9.9015634047480608E-2</v>
      </c>
      <c r="BK17" s="13">
        <v>3.211538461538463</v>
      </c>
      <c r="BL17" s="7">
        <f t="shared" si="18"/>
        <v>-3.2139093782928542E-2</v>
      </c>
      <c r="BM17" s="13">
        <v>13.333333333333329</v>
      </c>
      <c r="BN17" s="7">
        <f t="shared" si="18"/>
        <v>3.151696606786424</v>
      </c>
      <c r="BO17" s="13">
        <v>9.550000000000006</v>
      </c>
      <c r="BP17" s="7">
        <f t="shared" si="18"/>
        <v>-0.28374999999999928</v>
      </c>
      <c r="BQ17" s="13">
        <v>7.71875</v>
      </c>
      <c r="BR17" s="7">
        <f t="shared" si="18"/>
        <v>-0.19175392670157124</v>
      </c>
      <c r="BS17" s="13">
        <v>6.625</v>
      </c>
      <c r="BT17" s="7">
        <f t="shared" si="18"/>
        <v>-0.14170040485829957</v>
      </c>
      <c r="BU17" s="13">
        <v>6.375</v>
      </c>
      <c r="BV17" s="7">
        <f t="shared" si="18"/>
        <v>-3.773584905660371E-2</v>
      </c>
      <c r="BW17" s="17">
        <v>6.1875</v>
      </c>
      <c r="BX17" s="7">
        <f t="shared" si="19"/>
        <v>-2.9411764705882318E-2</v>
      </c>
      <c r="BY17" s="8">
        <f t="shared" si="20"/>
        <v>0.70689655172413779</v>
      </c>
    </row>
    <row r="18" spans="1:77" x14ac:dyDescent="0.25">
      <c r="A18" s="5" t="s">
        <v>151</v>
      </c>
      <c r="B18" s="5" t="s">
        <v>35</v>
      </c>
      <c r="C18" s="5" t="s">
        <v>17</v>
      </c>
      <c r="D18" s="5" t="s">
        <v>36</v>
      </c>
      <c r="E18" s="5" t="s">
        <v>104</v>
      </c>
      <c r="F18" s="10">
        <v>2.5625</v>
      </c>
      <c r="G18" s="6">
        <v>3.5208333333333335</v>
      </c>
      <c r="H18" s="7">
        <f t="shared" si="0"/>
        <v>0.37398373983739847</v>
      </c>
      <c r="I18" s="6">
        <v>5.5</v>
      </c>
      <c r="J18" s="7">
        <f t="shared" si="1"/>
        <v>0.56213017751479299</v>
      </c>
      <c r="K18" s="6">
        <v>13</v>
      </c>
      <c r="L18" s="7">
        <f t="shared" si="1"/>
        <v>1.3636363636363638</v>
      </c>
      <c r="M18" s="11">
        <v>9.5</v>
      </c>
      <c r="N18" s="7">
        <f t="shared" si="2"/>
        <v>-0.26923076923076933</v>
      </c>
      <c r="O18" s="11">
        <v>8.6666666666666643</v>
      </c>
      <c r="P18" s="7">
        <f t="shared" si="3"/>
        <v>-8.7719298245614252E-2</v>
      </c>
      <c r="Q18" s="11">
        <v>13</v>
      </c>
      <c r="R18" s="7">
        <f t="shared" si="4"/>
        <v>0.50000000000000056</v>
      </c>
      <c r="S18" s="12">
        <v>12</v>
      </c>
      <c r="T18" s="7">
        <f t="shared" si="5"/>
        <v>-7.6923076923076927E-2</v>
      </c>
      <c r="U18" s="11">
        <v>11.66666666666667</v>
      </c>
      <c r="V18" s="7">
        <f t="shared" si="6"/>
        <v>-2.7777777777777572E-2</v>
      </c>
      <c r="W18" s="11">
        <v>7.625</v>
      </c>
      <c r="X18" s="7">
        <f t="shared" si="7"/>
        <v>-0.3464285714285717</v>
      </c>
      <c r="Y18" s="13">
        <v>8.5</v>
      </c>
      <c r="Z18" s="7">
        <f t="shared" si="8"/>
        <v>0.11475409836065566</v>
      </c>
      <c r="AA18" s="13">
        <v>11.5</v>
      </c>
      <c r="AB18" s="7">
        <f t="shared" si="9"/>
        <v>0.35294117647058842</v>
      </c>
      <c r="AC18" s="13">
        <v>34.544642857142883</v>
      </c>
      <c r="AD18" s="7">
        <f t="shared" si="10"/>
        <v>2.0038819875776421</v>
      </c>
      <c r="AE18" s="13">
        <v>65.903846153846175</v>
      </c>
      <c r="AF18" s="7">
        <f t="shared" si="11"/>
        <v>0.90778774081953117</v>
      </c>
      <c r="AG18" s="13">
        <v>51.205357142857117</v>
      </c>
      <c r="AH18" s="7">
        <f t="shared" si="11"/>
        <v>-0.22302930509817059</v>
      </c>
      <c r="AI18" s="13">
        <v>35</v>
      </c>
      <c r="AJ18" s="7">
        <f t="shared" si="11"/>
        <v>-0.31647776809067096</v>
      </c>
      <c r="AK18" s="13">
        <v>16.0625</v>
      </c>
      <c r="AL18" s="7">
        <f t="shared" si="11"/>
        <v>-0.54107142857142865</v>
      </c>
      <c r="AM18" s="13">
        <v>5.6875</v>
      </c>
      <c r="AN18" s="7">
        <f t="shared" si="11"/>
        <v>-0.64591439688715946</v>
      </c>
      <c r="AO18" s="13">
        <v>25.291666666666657</v>
      </c>
      <c r="AP18" s="7">
        <f t="shared" si="11"/>
        <v>3.4468864468864457</v>
      </c>
      <c r="AQ18" s="13">
        <v>53.799999999999969</v>
      </c>
      <c r="AR18" s="7">
        <f t="shared" si="12"/>
        <v>1.1271828665568364</v>
      </c>
      <c r="AS18" s="13">
        <v>37.1</v>
      </c>
      <c r="AT18" s="7">
        <f t="shared" si="12"/>
        <v>-0.31040892193308506</v>
      </c>
      <c r="AU18" s="13">
        <v>80.555555555555614</v>
      </c>
      <c r="AV18" s="7">
        <f t="shared" si="12"/>
        <v>1.1713087750823616</v>
      </c>
      <c r="AW18" s="13">
        <v>44.142857142857117</v>
      </c>
      <c r="AX18" s="7">
        <f t="shared" si="12"/>
        <v>-0.45201970443349831</v>
      </c>
      <c r="AY18" s="13">
        <v>35.285714285714299</v>
      </c>
      <c r="AZ18" s="7">
        <f t="shared" si="13"/>
        <v>-0.20064724919093777</v>
      </c>
      <c r="BA18" s="13">
        <v>31.799999999999983</v>
      </c>
      <c r="BB18" s="7">
        <f t="shared" si="13"/>
        <v>-9.8785425101215338E-2</v>
      </c>
      <c r="BC18" s="13">
        <v>16.266666666666655</v>
      </c>
      <c r="BD18" s="7">
        <f t="shared" si="14"/>
        <v>-0.48846960167714892</v>
      </c>
      <c r="BE18" s="13">
        <v>4.9615384615384617</v>
      </c>
      <c r="BF18" s="7">
        <f t="shared" si="15"/>
        <v>-0.69498738965952056</v>
      </c>
      <c r="BG18" s="13">
        <v>3.153846153846156</v>
      </c>
      <c r="BH18" s="7">
        <f t="shared" si="16"/>
        <v>-0.36434108527131737</v>
      </c>
      <c r="BI18" s="13">
        <v>3.7727272727272698</v>
      </c>
      <c r="BJ18" s="7">
        <f t="shared" si="17"/>
        <v>0.19623059866962136</v>
      </c>
      <c r="BK18" s="13">
        <v>4.0833333333333313</v>
      </c>
      <c r="BL18" s="7">
        <f t="shared" si="18"/>
        <v>8.2329317269076649E-2</v>
      </c>
      <c r="BM18" s="13">
        <v>12.272727272727268</v>
      </c>
      <c r="BN18" s="7">
        <f t="shared" si="18"/>
        <v>2.0055658627087198</v>
      </c>
      <c r="BO18" s="13">
        <v>8.733333333333329</v>
      </c>
      <c r="BP18" s="7">
        <f t="shared" si="18"/>
        <v>-0.28839506172839507</v>
      </c>
      <c r="BQ18" s="13">
        <v>7.9375</v>
      </c>
      <c r="BR18" s="7">
        <f t="shared" si="18"/>
        <v>-9.1125954198472817E-2</v>
      </c>
      <c r="BS18" s="13">
        <v>6.984375</v>
      </c>
      <c r="BT18" s="7">
        <f t="shared" si="18"/>
        <v>-0.1200787401574803</v>
      </c>
      <c r="BU18" s="13">
        <v>6.3125</v>
      </c>
      <c r="BV18" s="7">
        <f t="shared" si="18"/>
        <v>-9.6196868008948541E-2</v>
      </c>
      <c r="BW18" s="17">
        <v>6.400390625</v>
      </c>
      <c r="BX18" s="7">
        <f t="shared" si="19"/>
        <v>1.3923267326732684E-2</v>
      </c>
      <c r="BY18" s="8">
        <f t="shared" si="20"/>
        <v>1.4977134146341462</v>
      </c>
    </row>
    <row r="19" spans="1:77" x14ac:dyDescent="0.25">
      <c r="A19" s="5" t="s">
        <v>152</v>
      </c>
      <c r="B19" s="5" t="s">
        <v>37</v>
      </c>
      <c r="C19" s="5" t="s">
        <v>38</v>
      </c>
      <c r="D19" s="5" t="s">
        <v>39</v>
      </c>
      <c r="E19" s="5" t="s">
        <v>109</v>
      </c>
      <c r="F19" s="10">
        <v>2</v>
      </c>
      <c r="G19" s="6">
        <v>4</v>
      </c>
      <c r="H19" s="7">
        <f t="shared" si="0"/>
        <v>1</v>
      </c>
      <c r="I19" s="6">
        <v>3.5</v>
      </c>
      <c r="J19" s="7">
        <f t="shared" si="1"/>
        <v>-0.125</v>
      </c>
      <c r="K19" s="6">
        <v>3</v>
      </c>
      <c r="L19" s="7">
        <f t="shared" si="1"/>
        <v>-0.1428571428571429</v>
      </c>
      <c r="M19" s="11">
        <v>3</v>
      </c>
      <c r="N19" s="7">
        <f t="shared" si="2"/>
        <v>0</v>
      </c>
      <c r="O19" s="11">
        <v>3.5</v>
      </c>
      <c r="P19" s="7">
        <f t="shared" si="3"/>
        <v>0.16666666666666671</v>
      </c>
      <c r="Q19" s="11">
        <v>3.25</v>
      </c>
      <c r="R19" s="7">
        <f t="shared" si="4"/>
        <v>-7.1428571428571383E-2</v>
      </c>
      <c r="S19" s="12">
        <v>2.875</v>
      </c>
      <c r="T19" s="7">
        <f t="shared" si="5"/>
        <v>-0.11538461538461547</v>
      </c>
      <c r="U19" s="11">
        <v>2.625</v>
      </c>
      <c r="V19" s="7">
        <f t="shared" si="6"/>
        <v>-8.695652173913046E-2</v>
      </c>
      <c r="W19" s="11">
        <v>3.75</v>
      </c>
      <c r="X19" s="7">
        <f t="shared" si="7"/>
        <v>0.4285714285714286</v>
      </c>
      <c r="Y19" s="13">
        <v>4.25</v>
      </c>
      <c r="Z19" s="7">
        <f t="shared" si="8"/>
        <v>0.13333333333333328</v>
      </c>
      <c r="AA19" s="13">
        <v>3.5</v>
      </c>
      <c r="AB19" s="7">
        <f t="shared" si="9"/>
        <v>-0.17647058823529421</v>
      </c>
      <c r="AC19" s="13">
        <v>3</v>
      </c>
      <c r="AD19" s="7">
        <f t="shared" si="10"/>
        <v>-0.1428571428571429</v>
      </c>
      <c r="AE19" s="13">
        <v>4.25</v>
      </c>
      <c r="AF19" s="7">
        <f t="shared" si="11"/>
        <v>0.41666666666666685</v>
      </c>
      <c r="AG19" s="13">
        <v>4.75</v>
      </c>
      <c r="AH19" s="7">
        <f t="shared" si="11"/>
        <v>0.11764705882352942</v>
      </c>
      <c r="AI19" s="13">
        <v>10</v>
      </c>
      <c r="AJ19" s="7">
        <f t="shared" si="11"/>
        <v>1.1052631578947367</v>
      </c>
      <c r="AK19" s="13">
        <v>10</v>
      </c>
      <c r="AL19" s="7">
        <f t="shared" si="11"/>
        <v>0</v>
      </c>
      <c r="AM19" s="13">
        <v>6.3571428571428603</v>
      </c>
      <c r="AN19" s="7">
        <f t="shared" si="11"/>
        <v>-0.36428571428571405</v>
      </c>
      <c r="AO19" s="13">
        <v>6.3333333333333366</v>
      </c>
      <c r="AP19" s="7">
        <f t="shared" si="11"/>
        <v>-3.7453183520599963E-3</v>
      </c>
      <c r="AQ19" s="13">
        <v>6.1666666666666634</v>
      </c>
      <c r="AR19" s="7">
        <f t="shared" si="12"/>
        <v>-2.6315789473685243E-2</v>
      </c>
      <c r="AS19" s="13">
        <v>9</v>
      </c>
      <c r="AT19" s="7">
        <f t="shared" si="12"/>
        <v>0.45945945945946021</v>
      </c>
      <c r="AU19" s="13">
        <v>9</v>
      </c>
      <c r="AV19" s="7">
        <f t="shared" si="12"/>
        <v>0</v>
      </c>
      <c r="AW19" s="13">
        <v>9</v>
      </c>
      <c r="AX19" s="7">
        <f t="shared" si="12"/>
        <v>0</v>
      </c>
      <c r="AY19" s="13">
        <v>9</v>
      </c>
      <c r="AZ19" s="7">
        <f t="shared" si="13"/>
        <v>0</v>
      </c>
      <c r="BA19" s="13">
        <v>9</v>
      </c>
      <c r="BB19" s="7">
        <f t="shared" si="13"/>
        <v>0</v>
      </c>
      <c r="BC19" s="13">
        <v>9</v>
      </c>
      <c r="BD19" s="7">
        <f t="shared" si="14"/>
        <v>0</v>
      </c>
      <c r="BE19" s="13">
        <v>5</v>
      </c>
      <c r="BF19" s="7">
        <f t="shared" si="15"/>
        <v>-0.44444444444444442</v>
      </c>
      <c r="BG19" s="13">
        <v>4</v>
      </c>
      <c r="BH19" s="7">
        <f t="shared" si="16"/>
        <v>-0.2</v>
      </c>
      <c r="BI19" s="13">
        <v>4</v>
      </c>
      <c r="BJ19" s="7">
        <f t="shared" si="17"/>
        <v>0</v>
      </c>
      <c r="BK19" s="13">
        <v>4</v>
      </c>
      <c r="BL19" s="7">
        <f t="shared" si="18"/>
        <v>0</v>
      </c>
      <c r="BM19" s="13">
        <v>4</v>
      </c>
      <c r="BN19" s="7">
        <f t="shared" si="18"/>
        <v>0</v>
      </c>
      <c r="BO19" s="13">
        <v>4</v>
      </c>
      <c r="BP19" s="7">
        <f t="shared" si="18"/>
        <v>0</v>
      </c>
      <c r="BQ19" s="13">
        <v>4</v>
      </c>
      <c r="BR19" s="7">
        <f t="shared" si="18"/>
        <v>0</v>
      </c>
      <c r="BS19" s="13">
        <v>5.3947368421052628</v>
      </c>
      <c r="BT19" s="7">
        <f t="shared" si="18"/>
        <v>0.3486842105263156</v>
      </c>
      <c r="BU19" s="13">
        <v>5.9473684210526319</v>
      </c>
      <c r="BV19" s="7">
        <f t="shared" si="18"/>
        <v>0.10243902439024395</v>
      </c>
      <c r="BW19" s="17">
        <v>6.4736842105263159</v>
      </c>
      <c r="BX19" s="7">
        <f t="shared" si="19"/>
        <v>8.8495575221238881E-2</v>
      </c>
      <c r="BY19" s="8">
        <f t="shared" si="20"/>
        <v>2.236842105263158</v>
      </c>
    </row>
    <row r="20" spans="1:77" x14ac:dyDescent="0.25">
      <c r="A20" s="5" t="s">
        <v>153</v>
      </c>
      <c r="B20" s="5" t="s">
        <v>40</v>
      </c>
      <c r="C20" s="5" t="s">
        <v>41</v>
      </c>
      <c r="D20" s="5" t="s">
        <v>42</v>
      </c>
      <c r="E20" s="5" t="s">
        <v>110</v>
      </c>
      <c r="F20" s="10">
        <v>6.7900000000000009</v>
      </c>
      <c r="G20" s="6">
        <v>20.300000000000004</v>
      </c>
      <c r="H20" s="7">
        <f t="shared" si="0"/>
        <v>1.9896907216494844</v>
      </c>
      <c r="I20" s="6">
        <v>36.25</v>
      </c>
      <c r="J20" s="7">
        <f t="shared" si="1"/>
        <v>0.78571428571428525</v>
      </c>
      <c r="K20" s="6">
        <v>45</v>
      </c>
      <c r="L20" s="7">
        <f t="shared" si="1"/>
        <v>0.24137931034482762</v>
      </c>
      <c r="M20" s="11">
        <v>122.5</v>
      </c>
      <c r="N20" s="7">
        <f t="shared" si="2"/>
        <v>1.7222222222222223</v>
      </c>
      <c r="O20" s="11">
        <v>138.33333333333334</v>
      </c>
      <c r="P20" s="7">
        <f t="shared" si="3"/>
        <v>0.12925170068027228</v>
      </c>
      <c r="Q20" s="11">
        <v>175</v>
      </c>
      <c r="R20" s="7">
        <f t="shared" si="4"/>
        <v>0.26506024096385544</v>
      </c>
      <c r="S20" s="12">
        <v>167.5</v>
      </c>
      <c r="T20" s="7">
        <f t="shared" si="5"/>
        <v>-4.2857142857142774E-2</v>
      </c>
      <c r="U20" s="11">
        <v>193.3333333333334</v>
      </c>
      <c r="V20" s="7">
        <f t="shared" si="6"/>
        <v>0.15422885572139336</v>
      </c>
      <c r="W20" s="11">
        <v>125</v>
      </c>
      <c r="X20" s="7">
        <f t="shared" si="7"/>
        <v>-0.35344827586206917</v>
      </c>
      <c r="Y20" s="13">
        <v>150</v>
      </c>
      <c r="Z20" s="7">
        <f t="shared" si="8"/>
        <v>0.2</v>
      </c>
      <c r="AA20" s="13">
        <v>160</v>
      </c>
      <c r="AB20" s="7">
        <f t="shared" si="9"/>
        <v>6.6666666666666707E-2</v>
      </c>
      <c r="AC20" s="13">
        <v>151.25</v>
      </c>
      <c r="AD20" s="7">
        <f t="shared" si="10"/>
        <v>-5.46875E-2</v>
      </c>
      <c r="AE20" s="13">
        <v>142.5</v>
      </c>
      <c r="AF20" s="7">
        <f t="shared" si="11"/>
        <v>-5.7851239669421517E-2</v>
      </c>
      <c r="AG20" s="13">
        <v>150</v>
      </c>
      <c r="AH20" s="7">
        <f t="shared" si="11"/>
        <v>5.2631578947368356E-2</v>
      </c>
      <c r="AI20" s="13">
        <v>140</v>
      </c>
      <c r="AJ20" s="7">
        <f t="shared" si="11"/>
        <v>-6.6666666666666707E-2</v>
      </c>
      <c r="AK20" s="13">
        <v>90</v>
      </c>
      <c r="AL20" s="7">
        <f t="shared" si="11"/>
        <v>-0.3571428571428571</v>
      </c>
      <c r="AM20" s="13">
        <v>129.7222222222222</v>
      </c>
      <c r="AN20" s="7">
        <f t="shared" si="11"/>
        <v>0.44135802469135771</v>
      </c>
      <c r="AO20" s="13">
        <v>85.625</v>
      </c>
      <c r="AP20" s="7">
        <f t="shared" si="11"/>
        <v>-0.33993576017130606</v>
      </c>
      <c r="AQ20" s="13">
        <v>210</v>
      </c>
      <c r="AR20" s="7">
        <f t="shared" si="12"/>
        <v>1.4525547445255476</v>
      </c>
      <c r="AS20" s="13">
        <v>135</v>
      </c>
      <c r="AT20" s="7">
        <f t="shared" si="12"/>
        <v>-0.3571428571428571</v>
      </c>
      <c r="AU20" s="13">
        <v>250</v>
      </c>
      <c r="AV20" s="7">
        <f t="shared" si="12"/>
        <v>0.85185185185185186</v>
      </c>
      <c r="AW20" s="13">
        <v>293</v>
      </c>
      <c r="AX20" s="7">
        <f t="shared" si="12"/>
        <v>0.17199999999999988</v>
      </c>
      <c r="AY20" s="13">
        <v>380</v>
      </c>
      <c r="AZ20" s="7">
        <f t="shared" si="13"/>
        <v>0.29692832764505112</v>
      </c>
      <c r="BA20" s="13">
        <v>346.44155844155836</v>
      </c>
      <c r="BB20" s="7">
        <f t="shared" si="13"/>
        <v>-8.8311688311688522E-2</v>
      </c>
      <c r="BC20" s="13">
        <v>250</v>
      </c>
      <c r="BD20" s="7">
        <f t="shared" si="14"/>
        <v>-0.27837756785125195</v>
      </c>
      <c r="BE20" s="13">
        <v>139.66666666666666</v>
      </c>
      <c r="BF20" s="7">
        <f t="shared" si="15"/>
        <v>-0.44133333333333336</v>
      </c>
      <c r="BG20" s="13">
        <v>91.666666666666686</v>
      </c>
      <c r="BH20" s="7">
        <f t="shared" si="16"/>
        <v>-0.34367541766109766</v>
      </c>
      <c r="BI20" s="13">
        <v>86.666666666666686</v>
      </c>
      <c r="BJ20" s="7">
        <f t="shared" si="17"/>
        <v>-5.4545454545454536E-2</v>
      </c>
      <c r="BK20" s="13">
        <v>73.07692307692308</v>
      </c>
      <c r="BL20" s="7">
        <f t="shared" si="18"/>
        <v>-0.15680473372781079</v>
      </c>
      <c r="BM20" s="13">
        <v>81</v>
      </c>
      <c r="BN20" s="7">
        <f t="shared" si="18"/>
        <v>0.1084210526315789</v>
      </c>
      <c r="BO20" s="13">
        <v>85</v>
      </c>
      <c r="BP20" s="7">
        <f t="shared" si="18"/>
        <v>4.9382716049382651E-2</v>
      </c>
      <c r="BQ20" s="13">
        <v>85</v>
      </c>
      <c r="BR20" s="7">
        <f t="shared" si="18"/>
        <v>0</v>
      </c>
      <c r="BS20" s="13">
        <v>106.31578947368421</v>
      </c>
      <c r="BT20" s="7">
        <f t="shared" si="18"/>
        <v>0.25077399380804949</v>
      </c>
      <c r="BU20" s="13">
        <v>101.47368421052632</v>
      </c>
      <c r="BV20" s="7">
        <f t="shared" si="18"/>
        <v>-4.5544554455445481E-2</v>
      </c>
      <c r="BW20" s="17">
        <v>93.421052631578945</v>
      </c>
      <c r="BX20" s="7">
        <f t="shared" si="19"/>
        <v>-7.9356846473029069E-2</v>
      </c>
      <c r="BY20" s="8">
        <f t="shared" si="20"/>
        <v>12.758623362530034</v>
      </c>
    </row>
    <row r="21" spans="1:77" x14ac:dyDescent="0.25">
      <c r="A21" s="5" t="s">
        <v>154</v>
      </c>
      <c r="B21" s="5" t="s">
        <v>43</v>
      </c>
      <c r="C21" s="5" t="s">
        <v>41</v>
      </c>
      <c r="D21" s="5" t="s">
        <v>44</v>
      </c>
      <c r="E21" s="5" t="s">
        <v>110</v>
      </c>
      <c r="F21" s="10">
        <v>6.49</v>
      </c>
      <c r="G21" s="6">
        <v>20</v>
      </c>
      <c r="H21" s="7">
        <f t="shared" si="0"/>
        <v>2.0816640986132509</v>
      </c>
      <c r="I21" s="6">
        <v>30</v>
      </c>
      <c r="J21" s="7">
        <f t="shared" si="1"/>
        <v>0.5</v>
      </c>
      <c r="K21" s="6">
        <v>35</v>
      </c>
      <c r="L21" s="7">
        <f t="shared" si="1"/>
        <v>0.16666666666666671</v>
      </c>
      <c r="M21" s="11">
        <v>28.75</v>
      </c>
      <c r="N21" s="7">
        <f t="shared" si="2"/>
        <v>-0.1785714285714286</v>
      </c>
      <c r="O21" s="11">
        <v>33.333333333333336</v>
      </c>
      <c r="P21" s="7">
        <f t="shared" si="3"/>
        <v>0.15942028985507251</v>
      </c>
      <c r="Q21" s="11">
        <v>30</v>
      </c>
      <c r="R21" s="7">
        <f t="shared" si="4"/>
        <v>-0.10000000000000014</v>
      </c>
      <c r="S21" s="12">
        <v>31.25</v>
      </c>
      <c r="T21" s="7">
        <f t="shared" si="5"/>
        <v>4.1666666666666713E-2</v>
      </c>
      <c r="U21" s="11">
        <v>47.75</v>
      </c>
      <c r="V21" s="7">
        <f t="shared" si="6"/>
        <v>0.52800000000000014</v>
      </c>
      <c r="W21" s="11">
        <v>68.75</v>
      </c>
      <c r="X21" s="7">
        <f t="shared" si="7"/>
        <v>0.43979057591623044</v>
      </c>
      <c r="Y21" s="13">
        <v>115</v>
      </c>
      <c r="Z21" s="7">
        <f t="shared" si="8"/>
        <v>0.67272727272727251</v>
      </c>
      <c r="AA21" s="13">
        <v>62.5</v>
      </c>
      <c r="AB21" s="7">
        <f t="shared" si="9"/>
        <v>-0.45652173913043481</v>
      </c>
      <c r="AC21" s="13">
        <v>45.625</v>
      </c>
      <c r="AD21" s="7">
        <f t="shared" si="10"/>
        <v>-0.27</v>
      </c>
      <c r="AE21" s="13">
        <v>56.625</v>
      </c>
      <c r="AF21" s="7">
        <f t="shared" si="11"/>
        <v>0.24109589041095889</v>
      </c>
      <c r="AG21" s="13">
        <v>65</v>
      </c>
      <c r="AH21" s="7">
        <f t="shared" si="11"/>
        <v>0.14790286975717451</v>
      </c>
      <c r="AI21" s="13">
        <v>64.666666666666671</v>
      </c>
      <c r="AJ21" s="7">
        <f t="shared" si="11"/>
        <v>-5.12820512820511E-3</v>
      </c>
      <c r="AK21" s="13">
        <v>41.600000000000009</v>
      </c>
      <c r="AL21" s="7">
        <f t="shared" si="11"/>
        <v>-0.35670103092783506</v>
      </c>
      <c r="AM21" s="13">
        <v>89.0555555555556</v>
      </c>
      <c r="AN21" s="7">
        <f t="shared" si="11"/>
        <v>1.1407585470085477</v>
      </c>
      <c r="AO21" s="13">
        <v>50.674999999999983</v>
      </c>
      <c r="AP21" s="7">
        <f t="shared" si="11"/>
        <v>-0.43097317529631984</v>
      </c>
      <c r="AQ21" s="13">
        <v>53.75</v>
      </c>
      <c r="AR21" s="7">
        <f t="shared" si="12"/>
        <v>6.0680809077454684E-2</v>
      </c>
      <c r="AS21" s="13">
        <v>71.25</v>
      </c>
      <c r="AT21" s="7">
        <f t="shared" si="12"/>
        <v>0.32558139534883707</v>
      </c>
      <c r="AU21" s="13">
        <v>77.5</v>
      </c>
      <c r="AV21" s="7">
        <f t="shared" si="12"/>
        <v>8.7719298245614113E-2</v>
      </c>
      <c r="AW21" s="13">
        <v>97.5</v>
      </c>
      <c r="AX21" s="7">
        <f t="shared" si="12"/>
        <v>0.25806451612903231</v>
      </c>
      <c r="AY21" s="13">
        <v>116.66666666666669</v>
      </c>
      <c r="AZ21" s="7">
        <f t="shared" si="13"/>
        <v>0.19658119658119674</v>
      </c>
      <c r="BA21" s="13">
        <v>106.3636363636363</v>
      </c>
      <c r="BB21" s="7">
        <f t="shared" si="13"/>
        <v>-8.8311688311688952E-2</v>
      </c>
      <c r="BC21" s="13">
        <v>65.181818181818215</v>
      </c>
      <c r="BD21" s="7">
        <f t="shared" si="14"/>
        <v>-0.38717948717948647</v>
      </c>
      <c r="BE21" s="13">
        <v>38.571428571428562</v>
      </c>
      <c r="BF21" s="7">
        <f t="shared" si="15"/>
        <v>-0.40824865511058028</v>
      </c>
      <c r="BG21" s="13">
        <v>39</v>
      </c>
      <c r="BH21" s="7">
        <f t="shared" si="16"/>
        <v>1.1111111111111285E-2</v>
      </c>
      <c r="BI21" s="13">
        <v>32.799999999999997</v>
      </c>
      <c r="BJ21" s="7">
        <f t="shared" si="17"/>
        <v>-0.15897435897435913</v>
      </c>
      <c r="BK21" s="13">
        <v>28.94444444444445</v>
      </c>
      <c r="BL21" s="7">
        <f t="shared" si="18"/>
        <v>-0.11754742547425451</v>
      </c>
      <c r="BM21" s="13">
        <v>34.333333333333336</v>
      </c>
      <c r="BN21" s="7">
        <f t="shared" si="18"/>
        <v>0.18618042226487502</v>
      </c>
      <c r="BO21" s="13">
        <v>35</v>
      </c>
      <c r="BP21" s="7">
        <f t="shared" si="18"/>
        <v>1.9417475728155296E-2</v>
      </c>
      <c r="BQ21" s="13">
        <v>32.799999999999997</v>
      </c>
      <c r="BR21" s="7">
        <f t="shared" si="18"/>
        <v>-6.2857142857142917E-2</v>
      </c>
      <c r="BS21" s="13">
        <v>35.263157894736842</v>
      </c>
      <c r="BT21" s="7">
        <f t="shared" si="18"/>
        <v>7.5096277278562412E-2</v>
      </c>
      <c r="BU21" s="13">
        <v>34.89473684210526</v>
      </c>
      <c r="BV21" s="7">
        <f t="shared" si="18"/>
        <v>-1.0447761194029966E-2</v>
      </c>
      <c r="BW21" s="17">
        <v>34.89473684210526</v>
      </c>
      <c r="BX21" s="7">
        <f t="shared" si="19"/>
        <v>0</v>
      </c>
      <c r="BY21" s="8">
        <f t="shared" si="20"/>
        <v>4.3766928878436451</v>
      </c>
    </row>
    <row r="22" spans="1:77" x14ac:dyDescent="0.25">
      <c r="A22" s="5" t="s">
        <v>155</v>
      </c>
      <c r="B22" s="5" t="s">
        <v>45</v>
      </c>
      <c r="C22" s="5" t="s">
        <v>46</v>
      </c>
      <c r="D22" s="5" t="s">
        <v>47</v>
      </c>
      <c r="E22" s="5" t="s">
        <v>111</v>
      </c>
      <c r="F22" s="10">
        <v>4</v>
      </c>
      <c r="G22" s="6">
        <v>100</v>
      </c>
      <c r="H22" s="7">
        <f t="shared" si="0"/>
        <v>24</v>
      </c>
      <c r="I22" s="6">
        <v>100</v>
      </c>
      <c r="J22" s="7">
        <f t="shared" si="1"/>
        <v>0</v>
      </c>
      <c r="K22" s="6">
        <v>100</v>
      </c>
      <c r="L22" s="7">
        <f t="shared" si="1"/>
        <v>0</v>
      </c>
      <c r="M22" s="11">
        <v>100</v>
      </c>
      <c r="N22" s="7">
        <f t="shared" si="2"/>
        <v>0</v>
      </c>
      <c r="O22" s="11">
        <v>100</v>
      </c>
      <c r="P22" s="7">
        <f t="shared" si="3"/>
        <v>0</v>
      </c>
      <c r="Q22" s="11">
        <v>100</v>
      </c>
      <c r="R22" s="7">
        <f t="shared" si="4"/>
        <v>0</v>
      </c>
      <c r="S22" s="12">
        <v>100</v>
      </c>
      <c r="T22" s="7">
        <f t="shared" si="5"/>
        <v>0</v>
      </c>
      <c r="U22" s="11">
        <v>100</v>
      </c>
      <c r="V22" s="7">
        <f t="shared" si="6"/>
        <v>0</v>
      </c>
      <c r="W22" s="11">
        <v>100</v>
      </c>
      <c r="X22" s="7">
        <f t="shared" si="7"/>
        <v>0</v>
      </c>
      <c r="Y22" s="13">
        <v>100</v>
      </c>
      <c r="Z22" s="7">
        <f t="shared" si="8"/>
        <v>0</v>
      </c>
      <c r="AA22" s="13">
        <v>100</v>
      </c>
      <c r="AB22" s="7">
        <f t="shared" si="9"/>
        <v>0</v>
      </c>
      <c r="AC22" s="13">
        <v>100</v>
      </c>
      <c r="AD22" s="7">
        <f t="shared" si="10"/>
        <v>0</v>
      </c>
      <c r="AE22" s="13">
        <v>100</v>
      </c>
      <c r="AF22" s="7">
        <f t="shared" si="11"/>
        <v>0</v>
      </c>
      <c r="AG22" s="13">
        <v>100</v>
      </c>
      <c r="AH22" s="7">
        <f t="shared" si="11"/>
        <v>0</v>
      </c>
      <c r="AI22" s="13">
        <v>100</v>
      </c>
      <c r="AJ22" s="7">
        <f t="shared" si="11"/>
        <v>0</v>
      </c>
      <c r="AK22" s="13">
        <v>100</v>
      </c>
      <c r="AL22" s="7">
        <f t="shared" si="11"/>
        <v>0</v>
      </c>
      <c r="AM22" s="13">
        <v>100</v>
      </c>
      <c r="AN22" s="7">
        <f t="shared" si="11"/>
        <v>0</v>
      </c>
      <c r="AO22" s="13">
        <v>100</v>
      </c>
      <c r="AP22" s="7">
        <f t="shared" si="11"/>
        <v>0</v>
      </c>
      <c r="AQ22" s="13">
        <v>100</v>
      </c>
      <c r="AR22" s="7">
        <f t="shared" si="12"/>
        <v>0</v>
      </c>
      <c r="AS22" s="13">
        <v>100</v>
      </c>
      <c r="AT22" s="7">
        <f t="shared" si="12"/>
        <v>0</v>
      </c>
      <c r="AU22" s="13">
        <v>100</v>
      </c>
      <c r="AV22" s="7">
        <f t="shared" si="12"/>
        <v>0</v>
      </c>
      <c r="AW22" s="13">
        <v>100</v>
      </c>
      <c r="AX22" s="7">
        <f t="shared" si="12"/>
        <v>0</v>
      </c>
      <c r="AY22" s="13">
        <v>100</v>
      </c>
      <c r="AZ22" s="7">
        <f t="shared" si="13"/>
        <v>0</v>
      </c>
      <c r="BA22" s="13">
        <v>100</v>
      </c>
      <c r="BB22" s="7">
        <f t="shared" si="13"/>
        <v>0</v>
      </c>
      <c r="BC22" s="13">
        <v>100</v>
      </c>
      <c r="BD22" s="7">
        <f t="shared" si="14"/>
        <v>0</v>
      </c>
      <c r="BE22" s="13">
        <v>100</v>
      </c>
      <c r="BF22" s="7">
        <f t="shared" si="15"/>
        <v>0</v>
      </c>
      <c r="BG22" s="13">
        <v>10</v>
      </c>
      <c r="BH22" s="7">
        <f t="shared" si="16"/>
        <v>-0.9</v>
      </c>
      <c r="BI22" s="13">
        <v>10</v>
      </c>
      <c r="BJ22" s="7">
        <f t="shared" si="17"/>
        <v>0</v>
      </c>
      <c r="BK22" s="13">
        <v>10</v>
      </c>
      <c r="BL22" s="7">
        <f t="shared" si="18"/>
        <v>0</v>
      </c>
      <c r="BM22" s="13">
        <v>10</v>
      </c>
      <c r="BN22" s="7">
        <f t="shared" si="18"/>
        <v>0</v>
      </c>
      <c r="BO22" s="13">
        <v>10</v>
      </c>
      <c r="BP22" s="7">
        <f t="shared" si="18"/>
        <v>0</v>
      </c>
      <c r="BQ22" s="13">
        <v>10</v>
      </c>
      <c r="BR22" s="7">
        <f t="shared" si="18"/>
        <v>0</v>
      </c>
      <c r="BS22" s="13">
        <v>10</v>
      </c>
      <c r="BT22" s="7">
        <f t="shared" si="18"/>
        <v>0</v>
      </c>
      <c r="BU22" s="13">
        <v>10</v>
      </c>
      <c r="BV22" s="7">
        <f t="shared" si="18"/>
        <v>0</v>
      </c>
      <c r="BW22" s="17">
        <v>10</v>
      </c>
      <c r="BX22" s="7">
        <f t="shared" si="19"/>
        <v>0</v>
      </c>
      <c r="BY22" s="8">
        <f t="shared" si="20"/>
        <v>1.5</v>
      </c>
    </row>
    <row r="23" spans="1:77" x14ac:dyDescent="0.25">
      <c r="A23" s="5" t="s">
        <v>156</v>
      </c>
      <c r="B23" s="5" t="s">
        <v>48</v>
      </c>
      <c r="C23" s="5" t="s">
        <v>46</v>
      </c>
      <c r="D23" s="5" t="s">
        <v>49</v>
      </c>
      <c r="E23" s="5" t="s">
        <v>111</v>
      </c>
      <c r="F23" s="10">
        <v>8</v>
      </c>
      <c r="G23" s="6">
        <v>150</v>
      </c>
      <c r="H23" s="7">
        <f t="shared" si="0"/>
        <v>17.75</v>
      </c>
      <c r="I23" s="6">
        <v>150</v>
      </c>
      <c r="J23" s="7">
        <f t="shared" si="1"/>
        <v>0</v>
      </c>
      <c r="K23" s="6">
        <v>150</v>
      </c>
      <c r="L23" s="7">
        <f t="shared" si="1"/>
        <v>0</v>
      </c>
      <c r="M23" s="11">
        <v>150</v>
      </c>
      <c r="N23" s="7">
        <f t="shared" si="2"/>
        <v>0</v>
      </c>
      <c r="O23" s="11">
        <v>150</v>
      </c>
      <c r="P23" s="7">
        <f t="shared" si="3"/>
        <v>0</v>
      </c>
      <c r="Q23" s="11">
        <v>150</v>
      </c>
      <c r="R23" s="7">
        <f t="shared" si="4"/>
        <v>0</v>
      </c>
      <c r="S23" s="12">
        <v>150</v>
      </c>
      <c r="T23" s="7">
        <f t="shared" si="5"/>
        <v>0</v>
      </c>
      <c r="U23" s="11">
        <v>150</v>
      </c>
      <c r="V23" s="7">
        <f t="shared" si="6"/>
        <v>0</v>
      </c>
      <c r="W23" s="11">
        <v>150</v>
      </c>
      <c r="X23" s="7">
        <f t="shared" si="7"/>
        <v>0</v>
      </c>
      <c r="Y23" s="13">
        <v>150</v>
      </c>
      <c r="Z23" s="7">
        <f t="shared" si="8"/>
        <v>0</v>
      </c>
      <c r="AA23" s="13">
        <v>150</v>
      </c>
      <c r="AB23" s="7">
        <f t="shared" si="9"/>
        <v>0</v>
      </c>
      <c r="AC23" s="13">
        <v>150</v>
      </c>
      <c r="AD23" s="7">
        <f t="shared" si="10"/>
        <v>0</v>
      </c>
      <c r="AE23" s="13">
        <v>150</v>
      </c>
      <c r="AF23" s="7">
        <f t="shared" si="11"/>
        <v>0</v>
      </c>
      <c r="AG23" s="13">
        <v>150</v>
      </c>
      <c r="AH23" s="7">
        <f t="shared" si="11"/>
        <v>0</v>
      </c>
      <c r="AI23" s="13">
        <v>150</v>
      </c>
      <c r="AJ23" s="7">
        <f t="shared" si="11"/>
        <v>0</v>
      </c>
      <c r="AK23" s="13">
        <v>150</v>
      </c>
      <c r="AL23" s="7">
        <f t="shared" si="11"/>
        <v>0</v>
      </c>
      <c r="AM23" s="13">
        <v>150</v>
      </c>
      <c r="AN23" s="7">
        <f t="shared" si="11"/>
        <v>0</v>
      </c>
      <c r="AO23" s="13">
        <v>150</v>
      </c>
      <c r="AP23" s="7">
        <f t="shared" si="11"/>
        <v>0</v>
      </c>
      <c r="AQ23" s="13">
        <v>150</v>
      </c>
      <c r="AR23" s="7">
        <f t="shared" si="12"/>
        <v>0</v>
      </c>
      <c r="AS23" s="13">
        <v>150</v>
      </c>
      <c r="AT23" s="7">
        <f t="shared" si="12"/>
        <v>0</v>
      </c>
      <c r="AU23" s="13">
        <v>150</v>
      </c>
      <c r="AV23" s="7">
        <f t="shared" si="12"/>
        <v>0</v>
      </c>
      <c r="AW23" s="13">
        <v>150</v>
      </c>
      <c r="AX23" s="7">
        <f t="shared" si="12"/>
        <v>0</v>
      </c>
      <c r="AY23" s="13">
        <v>150</v>
      </c>
      <c r="AZ23" s="7">
        <f t="shared" si="13"/>
        <v>0</v>
      </c>
      <c r="BA23" s="13">
        <v>150</v>
      </c>
      <c r="BB23" s="7">
        <f t="shared" si="13"/>
        <v>0</v>
      </c>
      <c r="BC23" s="13">
        <v>150</v>
      </c>
      <c r="BD23" s="7">
        <f t="shared" si="14"/>
        <v>0</v>
      </c>
      <c r="BE23" s="13">
        <v>150</v>
      </c>
      <c r="BF23" s="7">
        <f t="shared" si="15"/>
        <v>0</v>
      </c>
      <c r="BG23" s="13">
        <v>18</v>
      </c>
      <c r="BH23" s="7">
        <f t="shared" si="16"/>
        <v>-0.88</v>
      </c>
      <c r="BI23" s="13">
        <v>18</v>
      </c>
      <c r="BJ23" s="7">
        <f t="shared" si="17"/>
        <v>0</v>
      </c>
      <c r="BK23" s="13">
        <v>18</v>
      </c>
      <c r="BL23" s="7">
        <f t="shared" si="18"/>
        <v>0</v>
      </c>
      <c r="BM23" s="13">
        <v>18</v>
      </c>
      <c r="BN23" s="7">
        <f t="shared" si="18"/>
        <v>0</v>
      </c>
      <c r="BO23" s="13">
        <v>18</v>
      </c>
      <c r="BP23" s="7">
        <f t="shared" si="18"/>
        <v>0</v>
      </c>
      <c r="BQ23" s="13">
        <v>18</v>
      </c>
      <c r="BR23" s="7">
        <f t="shared" si="18"/>
        <v>0</v>
      </c>
      <c r="BS23" s="13">
        <v>18</v>
      </c>
      <c r="BT23" s="7">
        <f t="shared" si="18"/>
        <v>0</v>
      </c>
      <c r="BU23" s="13">
        <v>18</v>
      </c>
      <c r="BV23" s="7">
        <f t="shared" si="18"/>
        <v>0</v>
      </c>
      <c r="BW23" s="17">
        <v>18</v>
      </c>
      <c r="BX23" s="7">
        <f t="shared" si="19"/>
        <v>0</v>
      </c>
      <c r="BY23" s="8">
        <f t="shared" si="20"/>
        <v>1.25</v>
      </c>
    </row>
    <row r="24" spans="1:77" x14ac:dyDescent="0.25">
      <c r="A24" s="5" t="s">
        <v>157</v>
      </c>
      <c r="B24" s="5" t="s">
        <v>50</v>
      </c>
      <c r="C24" s="5" t="s">
        <v>1</v>
      </c>
      <c r="D24" s="9" t="s">
        <v>79</v>
      </c>
      <c r="E24" s="9" t="s">
        <v>104</v>
      </c>
      <c r="F24" s="10">
        <v>7</v>
      </c>
      <c r="G24" s="6">
        <v>7</v>
      </c>
      <c r="H24" s="7">
        <f t="shared" si="0"/>
        <v>0</v>
      </c>
      <c r="I24" s="6">
        <v>14</v>
      </c>
      <c r="J24" s="7">
        <f t="shared" si="1"/>
        <v>1</v>
      </c>
      <c r="K24" s="6">
        <v>14</v>
      </c>
      <c r="L24" s="7">
        <f t="shared" si="1"/>
        <v>0</v>
      </c>
      <c r="M24" s="11">
        <v>14</v>
      </c>
      <c r="N24" s="7">
        <f t="shared" si="2"/>
        <v>0</v>
      </c>
      <c r="O24" s="11">
        <v>14</v>
      </c>
      <c r="P24" s="7">
        <f t="shared" si="3"/>
        <v>0</v>
      </c>
      <c r="Q24" s="11">
        <v>14</v>
      </c>
      <c r="R24" s="7">
        <f t="shared" si="4"/>
        <v>0</v>
      </c>
      <c r="S24" s="12">
        <v>14</v>
      </c>
      <c r="T24" s="7">
        <f t="shared" si="5"/>
        <v>0</v>
      </c>
      <c r="U24" s="11">
        <v>14</v>
      </c>
      <c r="V24" s="7">
        <f t="shared" si="6"/>
        <v>0</v>
      </c>
      <c r="W24" s="11">
        <v>14</v>
      </c>
      <c r="X24" s="7">
        <f t="shared" si="7"/>
        <v>0</v>
      </c>
      <c r="Y24" s="13">
        <v>14</v>
      </c>
      <c r="Z24" s="7">
        <f t="shared" si="8"/>
        <v>0</v>
      </c>
      <c r="AA24" s="13">
        <v>14</v>
      </c>
      <c r="AB24" s="7">
        <f t="shared" si="9"/>
        <v>0</v>
      </c>
      <c r="AC24" s="13">
        <v>14</v>
      </c>
      <c r="AD24" s="7">
        <f t="shared" si="10"/>
        <v>0</v>
      </c>
      <c r="AE24" s="13">
        <v>14</v>
      </c>
      <c r="AF24" s="7">
        <f t="shared" si="11"/>
        <v>0</v>
      </c>
      <c r="AG24" s="13">
        <v>14</v>
      </c>
      <c r="AH24" s="7">
        <f t="shared" si="11"/>
        <v>0</v>
      </c>
      <c r="AI24" s="13">
        <v>14</v>
      </c>
      <c r="AJ24" s="7">
        <f t="shared" si="11"/>
        <v>0</v>
      </c>
      <c r="AK24" s="13">
        <v>14</v>
      </c>
      <c r="AL24" s="7">
        <f t="shared" si="11"/>
        <v>0</v>
      </c>
      <c r="AM24" s="13">
        <v>14</v>
      </c>
      <c r="AN24" s="7">
        <f t="shared" si="11"/>
        <v>0</v>
      </c>
      <c r="AO24" s="13">
        <v>14</v>
      </c>
      <c r="AP24" s="7">
        <f t="shared" si="11"/>
        <v>0</v>
      </c>
      <c r="AQ24" s="13">
        <v>14</v>
      </c>
      <c r="AR24" s="7">
        <f t="shared" si="12"/>
        <v>0</v>
      </c>
      <c r="AS24" s="13">
        <v>14</v>
      </c>
      <c r="AT24" s="7">
        <f t="shared" si="12"/>
        <v>0</v>
      </c>
      <c r="AU24" s="13">
        <v>14</v>
      </c>
      <c r="AV24" s="7">
        <f t="shared" si="12"/>
        <v>0</v>
      </c>
      <c r="AW24" s="13">
        <v>14</v>
      </c>
      <c r="AX24" s="7">
        <f t="shared" si="12"/>
        <v>0</v>
      </c>
      <c r="AY24" s="13">
        <v>14</v>
      </c>
      <c r="AZ24" s="7">
        <f t="shared" si="13"/>
        <v>0</v>
      </c>
      <c r="BA24" s="13">
        <v>14</v>
      </c>
      <c r="BB24" s="7">
        <f t="shared" si="13"/>
        <v>0</v>
      </c>
      <c r="BC24" s="13">
        <v>14</v>
      </c>
      <c r="BD24" s="7">
        <f t="shared" si="14"/>
        <v>0</v>
      </c>
      <c r="BE24" s="13">
        <v>28</v>
      </c>
      <c r="BF24" s="7">
        <f t="shared" si="15"/>
        <v>1</v>
      </c>
      <c r="BG24" s="13">
        <v>28</v>
      </c>
      <c r="BH24" s="7">
        <f t="shared" si="16"/>
        <v>0</v>
      </c>
      <c r="BI24" s="13">
        <v>28</v>
      </c>
      <c r="BJ24" s="7">
        <f t="shared" si="17"/>
        <v>0</v>
      </c>
      <c r="BK24" s="13">
        <v>28</v>
      </c>
      <c r="BL24" s="7">
        <f t="shared" si="18"/>
        <v>0</v>
      </c>
      <c r="BM24" s="13">
        <v>28</v>
      </c>
      <c r="BN24" s="7">
        <f t="shared" si="18"/>
        <v>0</v>
      </c>
      <c r="BO24" s="13">
        <v>28</v>
      </c>
      <c r="BP24" s="7">
        <f t="shared" si="18"/>
        <v>0</v>
      </c>
      <c r="BQ24" s="13">
        <v>28</v>
      </c>
      <c r="BR24" s="7">
        <f t="shared" si="18"/>
        <v>0</v>
      </c>
      <c r="BS24" s="13">
        <v>22.400000000000002</v>
      </c>
      <c r="BT24" s="7">
        <f t="shared" si="18"/>
        <v>-0.2</v>
      </c>
      <c r="BU24" s="13">
        <v>25.386666666666663</v>
      </c>
      <c r="BV24" s="7">
        <f t="shared" si="18"/>
        <v>0.13333333333333314</v>
      </c>
      <c r="BW24" s="17">
        <v>24.282898550724635</v>
      </c>
      <c r="BX24" s="7">
        <f t="shared" si="19"/>
        <v>-4.3478260869565161E-2</v>
      </c>
      <c r="BY24" s="8">
        <f t="shared" si="20"/>
        <v>2.4689855072463764</v>
      </c>
    </row>
    <row r="25" spans="1:77" x14ac:dyDescent="0.25">
      <c r="A25" s="5" t="s">
        <v>158</v>
      </c>
      <c r="B25" s="5" t="s">
        <v>51</v>
      </c>
      <c r="C25" s="5" t="s">
        <v>17</v>
      </c>
      <c r="D25" s="9" t="s">
        <v>80</v>
      </c>
      <c r="E25" s="9" t="s">
        <v>104</v>
      </c>
      <c r="F25" s="10">
        <v>4</v>
      </c>
      <c r="G25" s="6">
        <v>4</v>
      </c>
      <c r="H25" s="7">
        <f t="shared" si="0"/>
        <v>0</v>
      </c>
      <c r="I25" s="6">
        <v>6</v>
      </c>
      <c r="J25" s="7">
        <f t="shared" si="1"/>
        <v>0.5</v>
      </c>
      <c r="K25" s="6">
        <v>6</v>
      </c>
      <c r="L25" s="7">
        <f t="shared" si="1"/>
        <v>0</v>
      </c>
      <c r="M25" s="11">
        <v>15</v>
      </c>
      <c r="N25" s="7">
        <f t="shared" si="2"/>
        <v>1.5</v>
      </c>
      <c r="O25" s="11">
        <v>15</v>
      </c>
      <c r="P25" s="7">
        <f t="shared" si="3"/>
        <v>0</v>
      </c>
      <c r="Q25" s="11">
        <v>17.5</v>
      </c>
      <c r="R25" s="7">
        <f t="shared" si="4"/>
        <v>0.16666666666666671</v>
      </c>
      <c r="S25" s="12">
        <v>11.5</v>
      </c>
      <c r="T25" s="7">
        <f t="shared" si="5"/>
        <v>-0.34285714285714292</v>
      </c>
      <c r="U25" s="11">
        <v>10.5</v>
      </c>
      <c r="V25" s="7">
        <f t="shared" si="6"/>
        <v>-8.695652173913046E-2</v>
      </c>
      <c r="W25" s="11">
        <v>8.5</v>
      </c>
      <c r="X25" s="7">
        <f t="shared" si="7"/>
        <v>-0.19047619047619052</v>
      </c>
      <c r="Y25" s="13">
        <v>7.25</v>
      </c>
      <c r="Z25" s="7">
        <f t="shared" si="8"/>
        <v>-0.14705882352941174</v>
      </c>
      <c r="AA25" s="13">
        <v>7</v>
      </c>
      <c r="AB25" s="7">
        <f t="shared" si="9"/>
        <v>-3.4482758620689682E-2</v>
      </c>
      <c r="AC25" s="13">
        <v>6.75</v>
      </c>
      <c r="AD25" s="7">
        <f t="shared" si="10"/>
        <v>-3.5714285714285691E-2</v>
      </c>
      <c r="AE25" s="13">
        <v>9.8181818181818308</v>
      </c>
      <c r="AF25" s="7">
        <f t="shared" si="11"/>
        <v>0.45454545454545636</v>
      </c>
      <c r="AG25" s="13">
        <v>20.5625</v>
      </c>
      <c r="AH25" s="7">
        <f t="shared" si="11"/>
        <v>1.0943287037037011</v>
      </c>
      <c r="AI25" s="13">
        <v>25.775000000000034</v>
      </c>
      <c r="AJ25" s="7">
        <f t="shared" si="11"/>
        <v>0.25349544072948488</v>
      </c>
      <c r="AK25" s="13">
        <v>15.75</v>
      </c>
      <c r="AL25" s="7">
        <f t="shared" si="11"/>
        <v>-0.38894277400582039</v>
      </c>
      <c r="AM25" s="13">
        <v>7.8392857142857135</v>
      </c>
      <c r="AN25" s="7">
        <f t="shared" si="11"/>
        <v>-0.50226757369614516</v>
      </c>
      <c r="AO25" s="13">
        <v>8</v>
      </c>
      <c r="AP25" s="7">
        <f t="shared" si="11"/>
        <v>2.0501138952164127E-2</v>
      </c>
      <c r="AQ25" s="13">
        <v>18.5</v>
      </c>
      <c r="AR25" s="7">
        <f t="shared" si="12"/>
        <v>1.3125</v>
      </c>
      <c r="AS25" s="13">
        <v>35</v>
      </c>
      <c r="AT25" s="7">
        <f t="shared" si="12"/>
        <v>0.89189189189189189</v>
      </c>
      <c r="AU25" s="13">
        <v>46.25</v>
      </c>
      <c r="AV25" s="7">
        <f t="shared" si="12"/>
        <v>0.3214285714285714</v>
      </c>
      <c r="AW25" s="13">
        <v>25</v>
      </c>
      <c r="AX25" s="7">
        <f t="shared" si="12"/>
        <v>-0.45945945945945943</v>
      </c>
      <c r="AY25" s="13">
        <v>11.799999999999985</v>
      </c>
      <c r="AZ25" s="7">
        <f t="shared" si="13"/>
        <v>-0.52800000000000058</v>
      </c>
      <c r="BA25" s="13">
        <v>7</v>
      </c>
      <c r="BB25" s="7">
        <f t="shared" si="13"/>
        <v>-0.4067796610169484</v>
      </c>
      <c r="BC25" s="13">
        <v>11.285714285714302</v>
      </c>
      <c r="BD25" s="7">
        <f t="shared" si="14"/>
        <v>0.61224489795918602</v>
      </c>
      <c r="BE25" s="13">
        <v>8</v>
      </c>
      <c r="BF25" s="7">
        <f t="shared" si="15"/>
        <v>-0.29113924050633017</v>
      </c>
      <c r="BG25" s="13">
        <v>7</v>
      </c>
      <c r="BH25" s="7">
        <f t="shared" si="16"/>
        <v>-0.125</v>
      </c>
      <c r="BI25" s="13">
        <v>7</v>
      </c>
      <c r="BJ25" s="7">
        <f t="shared" si="17"/>
        <v>0</v>
      </c>
      <c r="BK25" s="13">
        <v>6.4285714285714333</v>
      </c>
      <c r="BL25" s="7">
        <f t="shared" si="18"/>
        <v>-8.1632653061223831E-2</v>
      </c>
      <c r="BM25" s="13">
        <v>6.3333333333333268</v>
      </c>
      <c r="BN25" s="7">
        <f t="shared" si="18"/>
        <v>-1.4814814814816515E-2</v>
      </c>
      <c r="BO25" s="13">
        <v>6</v>
      </c>
      <c r="BP25" s="7">
        <f t="shared" si="18"/>
        <v>-5.2631578947367502E-2</v>
      </c>
      <c r="BQ25" s="13">
        <v>6</v>
      </c>
      <c r="BR25" s="7">
        <f t="shared" si="18"/>
        <v>0</v>
      </c>
      <c r="BS25" s="13">
        <v>7.0675675675675675</v>
      </c>
      <c r="BT25" s="7">
        <f t="shared" si="18"/>
        <v>0.17792792792792794</v>
      </c>
      <c r="BU25" s="13">
        <v>7.0135135135135132</v>
      </c>
      <c r="BV25" s="7">
        <f t="shared" si="18"/>
        <v>-7.648183556405428E-3</v>
      </c>
      <c r="BW25" s="17">
        <v>6.8243243243243246</v>
      </c>
      <c r="BX25" s="7">
        <f t="shared" si="19"/>
        <v>-2.6974951830443104E-2</v>
      </c>
      <c r="BY25" s="8">
        <f t="shared" si="20"/>
        <v>0.70608108108108125</v>
      </c>
    </row>
    <row r="26" spans="1:77" x14ac:dyDescent="0.25">
      <c r="A26" s="5" t="s">
        <v>159</v>
      </c>
      <c r="B26" s="5" t="s">
        <v>52</v>
      </c>
      <c r="C26" s="5" t="s">
        <v>53</v>
      </c>
      <c r="D26" s="9" t="s">
        <v>81</v>
      </c>
      <c r="E26" s="9" t="s">
        <v>104</v>
      </c>
      <c r="F26" s="10">
        <v>8.828125</v>
      </c>
      <c r="G26" s="6">
        <v>8.796875</v>
      </c>
      <c r="H26" s="7">
        <f t="shared" si="0"/>
        <v>-3.539823008849652E-3</v>
      </c>
      <c r="I26" s="6">
        <v>9.796875</v>
      </c>
      <c r="J26" s="7">
        <f t="shared" si="1"/>
        <v>0.11367673179396093</v>
      </c>
      <c r="K26" s="6">
        <v>9.796875</v>
      </c>
      <c r="L26" s="7">
        <f t="shared" si="1"/>
        <v>0</v>
      </c>
      <c r="M26" s="11">
        <v>20</v>
      </c>
      <c r="N26" s="7">
        <f t="shared" si="2"/>
        <v>1.0414673046251992</v>
      </c>
      <c r="O26" s="11">
        <v>20</v>
      </c>
      <c r="P26" s="7">
        <f t="shared" si="3"/>
        <v>0</v>
      </c>
      <c r="Q26" s="11">
        <v>20</v>
      </c>
      <c r="R26" s="7">
        <f t="shared" si="4"/>
        <v>0</v>
      </c>
      <c r="S26" s="12">
        <v>15</v>
      </c>
      <c r="T26" s="7">
        <f t="shared" si="5"/>
        <v>-0.25</v>
      </c>
      <c r="U26" s="11">
        <v>13</v>
      </c>
      <c r="V26" s="7">
        <f t="shared" si="6"/>
        <v>-0.13333333333333328</v>
      </c>
      <c r="W26" s="11">
        <v>12</v>
      </c>
      <c r="X26" s="7">
        <f t="shared" si="7"/>
        <v>-7.6923076923076927E-2</v>
      </c>
      <c r="Y26" s="13">
        <v>14</v>
      </c>
      <c r="Z26" s="7">
        <f t="shared" si="8"/>
        <v>0.16666666666666671</v>
      </c>
      <c r="AA26" s="13">
        <v>14</v>
      </c>
      <c r="AB26" s="7">
        <f t="shared" si="9"/>
        <v>0</v>
      </c>
      <c r="AC26" s="13">
        <v>14</v>
      </c>
      <c r="AD26" s="7">
        <f t="shared" si="10"/>
        <v>0</v>
      </c>
      <c r="AE26" s="13">
        <v>14</v>
      </c>
      <c r="AF26" s="7">
        <f t="shared" si="11"/>
        <v>0</v>
      </c>
      <c r="AG26" s="13">
        <v>17.6875</v>
      </c>
      <c r="AH26" s="7">
        <f t="shared" si="11"/>
        <v>0.26339285714285721</v>
      </c>
      <c r="AI26" s="13">
        <v>17.6875</v>
      </c>
      <c r="AJ26" s="7">
        <f t="shared" si="11"/>
        <v>0</v>
      </c>
      <c r="AK26" s="13">
        <v>23</v>
      </c>
      <c r="AL26" s="7">
        <f t="shared" si="11"/>
        <v>0.30035335689045922</v>
      </c>
      <c r="AM26" s="13">
        <v>23</v>
      </c>
      <c r="AN26" s="7">
        <f t="shared" si="11"/>
        <v>0</v>
      </c>
      <c r="AO26" s="13">
        <v>23</v>
      </c>
      <c r="AP26" s="7">
        <f t="shared" si="11"/>
        <v>0</v>
      </c>
      <c r="AQ26" s="13">
        <v>24</v>
      </c>
      <c r="AR26" s="7">
        <f t="shared" si="12"/>
        <v>4.3478260869565161E-2</v>
      </c>
      <c r="AS26" s="13">
        <v>30</v>
      </c>
      <c r="AT26" s="7">
        <f t="shared" si="12"/>
        <v>0.25</v>
      </c>
      <c r="AU26" s="13">
        <v>29</v>
      </c>
      <c r="AV26" s="7">
        <f t="shared" si="12"/>
        <v>-3.3333333333333284E-2</v>
      </c>
      <c r="AW26" s="13">
        <v>31.75</v>
      </c>
      <c r="AX26" s="7">
        <f t="shared" si="12"/>
        <v>9.4827586206896519E-2</v>
      </c>
      <c r="AY26" s="13">
        <v>28.999999999999996</v>
      </c>
      <c r="AZ26" s="7">
        <f t="shared" si="13"/>
        <v>-8.6614173228346511E-2</v>
      </c>
      <c r="BA26" s="13">
        <v>13.636363636363628</v>
      </c>
      <c r="BB26" s="7">
        <f t="shared" si="13"/>
        <v>-0.52978056426332309</v>
      </c>
      <c r="BC26" s="13">
        <v>6.9272727272727321</v>
      </c>
      <c r="BD26" s="7">
        <f t="shared" si="14"/>
        <v>-0.49199999999999933</v>
      </c>
      <c r="BE26" s="13">
        <v>16.5</v>
      </c>
      <c r="BF26" s="7">
        <f t="shared" si="15"/>
        <v>1.381889763779526</v>
      </c>
      <c r="BG26" s="13">
        <v>7</v>
      </c>
      <c r="BH26" s="7">
        <f t="shared" si="16"/>
        <v>-0.5757575757575758</v>
      </c>
      <c r="BI26" s="13">
        <v>7</v>
      </c>
      <c r="BJ26" s="7">
        <f t="shared" si="17"/>
        <v>0</v>
      </c>
      <c r="BK26" s="13">
        <v>6</v>
      </c>
      <c r="BL26" s="7">
        <f t="shared" si="18"/>
        <v>-0.1428571428571429</v>
      </c>
      <c r="BM26" s="13">
        <v>6</v>
      </c>
      <c r="BN26" s="7">
        <f t="shared" si="18"/>
        <v>0</v>
      </c>
      <c r="BO26" s="13">
        <v>6</v>
      </c>
      <c r="BP26" s="7">
        <f t="shared" si="18"/>
        <v>0</v>
      </c>
      <c r="BQ26" s="13">
        <v>6</v>
      </c>
      <c r="BR26" s="7">
        <f t="shared" si="18"/>
        <v>0</v>
      </c>
      <c r="BS26" s="13">
        <v>14.9375</v>
      </c>
      <c r="BT26" s="7">
        <f t="shared" si="18"/>
        <v>1.4895833333333335</v>
      </c>
      <c r="BU26" s="13">
        <v>14.6875</v>
      </c>
      <c r="BV26" s="7">
        <f t="shared" si="18"/>
        <v>-1.6736401673640273E-2</v>
      </c>
      <c r="BW26" s="17">
        <v>15.263786764705882</v>
      </c>
      <c r="BX26" s="7">
        <f t="shared" si="19"/>
        <v>3.9236545682102671E-2</v>
      </c>
      <c r="BY26" s="8">
        <f t="shared" si="20"/>
        <v>0.72899531494013525</v>
      </c>
    </row>
    <row r="27" spans="1:77" x14ac:dyDescent="0.25">
      <c r="A27" s="5" t="s">
        <v>160</v>
      </c>
      <c r="B27" s="5" t="s">
        <v>54</v>
      </c>
      <c r="C27" s="5" t="s">
        <v>1</v>
      </c>
      <c r="D27" s="9" t="s">
        <v>82</v>
      </c>
      <c r="E27" s="9" t="s">
        <v>104</v>
      </c>
      <c r="F27" s="10">
        <v>45.55</v>
      </c>
      <c r="G27" s="6">
        <v>45.5</v>
      </c>
      <c r="H27" s="7">
        <f t="shared" si="0"/>
        <v>-1.0976948408341514E-3</v>
      </c>
      <c r="I27" s="6">
        <v>50</v>
      </c>
      <c r="J27" s="7">
        <f t="shared" si="1"/>
        <v>9.890109890109898E-2</v>
      </c>
      <c r="K27" s="6">
        <v>60</v>
      </c>
      <c r="L27" s="7">
        <f t="shared" si="1"/>
        <v>0.2</v>
      </c>
      <c r="M27" s="11">
        <v>93.75</v>
      </c>
      <c r="N27" s="7">
        <f t="shared" si="2"/>
        <v>0.5625</v>
      </c>
      <c r="O27" s="11">
        <v>128.33333333333334</v>
      </c>
      <c r="P27" s="7">
        <f t="shared" si="3"/>
        <v>0.36888888888888915</v>
      </c>
      <c r="Q27" s="11">
        <v>156.66666666666663</v>
      </c>
      <c r="R27" s="7">
        <f t="shared" si="4"/>
        <v>0.22077922077922024</v>
      </c>
      <c r="S27" s="12">
        <v>177.5</v>
      </c>
      <c r="T27" s="7">
        <f t="shared" si="5"/>
        <v>0.13297872340425571</v>
      </c>
      <c r="U27" s="11">
        <v>205</v>
      </c>
      <c r="V27" s="7">
        <f t="shared" si="6"/>
        <v>0.1549295774647888</v>
      </c>
      <c r="W27" s="11">
        <v>205</v>
      </c>
      <c r="X27" s="7">
        <f t="shared" si="7"/>
        <v>0</v>
      </c>
      <c r="Y27" s="13">
        <v>213.3333333333334</v>
      </c>
      <c r="Z27" s="7">
        <f t="shared" si="8"/>
        <v>4.0650406504065303E-2</v>
      </c>
      <c r="AA27" s="13">
        <v>213.3333333333334</v>
      </c>
      <c r="AB27" s="7">
        <f t="shared" si="9"/>
        <v>0</v>
      </c>
      <c r="AC27" s="13">
        <v>213.3333333333334</v>
      </c>
      <c r="AD27" s="7">
        <f t="shared" si="10"/>
        <v>0</v>
      </c>
      <c r="AE27" s="13">
        <v>213.3333333333334</v>
      </c>
      <c r="AF27" s="7">
        <f t="shared" si="11"/>
        <v>0</v>
      </c>
      <c r="AG27" s="13">
        <v>250</v>
      </c>
      <c r="AH27" s="7">
        <f t="shared" si="11"/>
        <v>0.17187499999999958</v>
      </c>
      <c r="AI27" s="13">
        <v>250</v>
      </c>
      <c r="AJ27" s="7">
        <f t="shared" si="11"/>
        <v>0</v>
      </c>
      <c r="AK27" s="13">
        <v>250</v>
      </c>
      <c r="AL27" s="7">
        <f t="shared" si="11"/>
        <v>0</v>
      </c>
      <c r="AM27" s="13">
        <v>140.09336482397219</v>
      </c>
      <c r="AN27" s="7">
        <f t="shared" si="11"/>
        <v>-0.43962654070411117</v>
      </c>
      <c r="AO27" s="13">
        <v>224.27854454203265</v>
      </c>
      <c r="AP27" s="7">
        <f t="shared" si="11"/>
        <v>0.6009219624629577</v>
      </c>
      <c r="AQ27" s="13">
        <v>224.27854454203265</v>
      </c>
      <c r="AR27" s="7">
        <f t="shared" si="12"/>
        <v>0</v>
      </c>
      <c r="AS27" s="13">
        <v>224.27854454203265</v>
      </c>
      <c r="AT27" s="7">
        <f t="shared" si="12"/>
        <v>0</v>
      </c>
      <c r="AU27" s="13">
        <v>338.85542168674692</v>
      </c>
      <c r="AV27" s="7">
        <f t="shared" si="12"/>
        <v>0.51086864942286581</v>
      </c>
      <c r="AW27" s="13">
        <v>338.85542168674692</v>
      </c>
      <c r="AX27" s="7">
        <f t="shared" si="12"/>
        <v>0</v>
      </c>
      <c r="AY27" s="13">
        <v>460.84337349397555</v>
      </c>
      <c r="AZ27" s="7">
        <f t="shared" si="13"/>
        <v>0.35999999999999915</v>
      </c>
      <c r="BA27" s="13">
        <v>444.27710843373478</v>
      </c>
      <c r="BB27" s="7">
        <f t="shared" si="13"/>
        <v>-3.5947712418300311E-2</v>
      </c>
      <c r="BC27" s="13">
        <v>438.89845094664372</v>
      </c>
      <c r="BD27" s="7">
        <f t="shared" si="14"/>
        <v>-1.2106537530266052E-2</v>
      </c>
      <c r="BE27" s="13">
        <v>198.49281295064426</v>
      </c>
      <c r="BF27" s="7">
        <f t="shared" si="15"/>
        <v>-0.54774774774774782</v>
      </c>
      <c r="BG27" s="13">
        <v>155.18289373711056</v>
      </c>
      <c r="BH27" s="7">
        <f t="shared" si="16"/>
        <v>-0.21819389110225784</v>
      </c>
      <c r="BI27" s="13">
        <v>120.67730380983389</v>
      </c>
      <c r="BJ27" s="7">
        <f t="shared" si="17"/>
        <v>-0.22235434007134372</v>
      </c>
      <c r="BK27" s="13">
        <v>129.6925152346839</v>
      </c>
      <c r="BL27" s="7">
        <f t="shared" si="18"/>
        <v>7.4705111402359414E-2</v>
      </c>
      <c r="BM27" s="13">
        <v>156.57998790528913</v>
      </c>
      <c r="BN27" s="7">
        <f t="shared" si="18"/>
        <v>0.20731707317073186</v>
      </c>
      <c r="BO27" s="13">
        <v>129.58707416538749</v>
      </c>
      <c r="BP27" s="7">
        <f t="shared" si="18"/>
        <v>-0.17239057239057204</v>
      </c>
      <c r="BQ27" s="13">
        <v>131.01052860089004</v>
      </c>
      <c r="BR27" s="7">
        <f t="shared" si="18"/>
        <v>1.098454027664701E-2</v>
      </c>
      <c r="BS27" s="13">
        <v>126.5292831557892</v>
      </c>
      <c r="BT27" s="7">
        <f t="shared" si="18"/>
        <v>-3.4205231388329767E-2</v>
      </c>
      <c r="BU27" s="13">
        <v>126.5292831557892</v>
      </c>
      <c r="BV27" s="7">
        <f t="shared" si="18"/>
        <v>0</v>
      </c>
      <c r="BW27" s="17">
        <v>118.05169868663845</v>
      </c>
      <c r="BX27" s="7">
        <f t="shared" si="19"/>
        <v>-6.700096813725509E-2</v>
      </c>
      <c r="BY27" s="8">
        <f t="shared" si="20"/>
        <v>1.5916948120008443</v>
      </c>
    </row>
    <row r="28" spans="1:77" x14ac:dyDescent="0.25">
      <c r="A28" s="5" t="s">
        <v>161</v>
      </c>
      <c r="B28" s="5" t="s">
        <v>55</v>
      </c>
      <c r="C28" s="5" t="s">
        <v>1</v>
      </c>
      <c r="D28" s="9" t="s">
        <v>83</v>
      </c>
      <c r="E28" s="9" t="s">
        <v>104</v>
      </c>
      <c r="F28" s="10">
        <v>56.111111111111114</v>
      </c>
      <c r="G28" s="6">
        <v>56.222222222222221</v>
      </c>
      <c r="H28" s="7">
        <f t="shared" si="0"/>
        <v>1.9801980198019464E-3</v>
      </c>
      <c r="I28" s="6">
        <v>60</v>
      </c>
      <c r="J28" s="7">
        <f t="shared" si="1"/>
        <v>6.7193675889328119E-2</v>
      </c>
      <c r="K28" s="6">
        <v>70</v>
      </c>
      <c r="L28" s="7">
        <f t="shared" si="1"/>
        <v>0.16666666666666671</v>
      </c>
      <c r="M28" s="11">
        <v>103.75</v>
      </c>
      <c r="N28" s="7">
        <f t="shared" si="2"/>
        <v>0.48214285714285721</v>
      </c>
      <c r="O28" s="11">
        <v>142.02222222222224</v>
      </c>
      <c r="P28" s="7">
        <f t="shared" si="3"/>
        <v>0.36888888888888915</v>
      </c>
      <c r="Q28" s="11">
        <v>173.37777777777777</v>
      </c>
      <c r="R28" s="7">
        <f t="shared" si="4"/>
        <v>0.22077922077922055</v>
      </c>
      <c r="S28" s="12">
        <v>196.43333333333337</v>
      </c>
      <c r="T28" s="7">
        <f t="shared" si="5"/>
        <v>0.13297872340425571</v>
      </c>
      <c r="U28" s="11">
        <v>226.86666666666673</v>
      </c>
      <c r="V28" s="7">
        <f t="shared" si="6"/>
        <v>0.15492957746478894</v>
      </c>
      <c r="W28" s="11">
        <v>226.86666666666673</v>
      </c>
      <c r="X28" s="7">
        <f t="shared" si="7"/>
        <v>0</v>
      </c>
      <c r="Y28" s="13">
        <v>236.0888888888889</v>
      </c>
      <c r="Z28" s="7">
        <f t="shared" si="8"/>
        <v>4.0650406504064734E-2</v>
      </c>
      <c r="AA28" s="13">
        <v>236.0888888888889</v>
      </c>
      <c r="AB28" s="7">
        <f t="shared" si="9"/>
        <v>0</v>
      </c>
      <c r="AC28" s="13">
        <v>236.0888888888889</v>
      </c>
      <c r="AD28" s="7">
        <f t="shared" si="10"/>
        <v>0</v>
      </c>
      <c r="AE28" s="13">
        <v>236.0888888888889</v>
      </c>
      <c r="AF28" s="7">
        <f t="shared" si="11"/>
        <v>0</v>
      </c>
      <c r="AG28" s="13">
        <v>276.66666666666674</v>
      </c>
      <c r="AH28" s="7">
        <f t="shared" si="11"/>
        <v>0.17187500000000028</v>
      </c>
      <c r="AI28" s="13">
        <v>276.66666666666674</v>
      </c>
      <c r="AJ28" s="7">
        <f t="shared" si="11"/>
        <v>0</v>
      </c>
      <c r="AK28" s="13">
        <v>276.66666666666674</v>
      </c>
      <c r="AL28" s="7">
        <f t="shared" si="11"/>
        <v>0</v>
      </c>
      <c r="AM28" s="13">
        <v>155.03665707186266</v>
      </c>
      <c r="AN28" s="7">
        <f t="shared" si="11"/>
        <v>-0.439626540704111</v>
      </c>
      <c r="AO28" s="13">
        <v>248.20158929318282</v>
      </c>
      <c r="AP28" s="7">
        <f t="shared" si="11"/>
        <v>0.60092196246295659</v>
      </c>
      <c r="AQ28" s="13">
        <v>248.20158929318282</v>
      </c>
      <c r="AR28" s="7">
        <f t="shared" si="12"/>
        <v>0</v>
      </c>
      <c r="AS28" s="13">
        <v>248.20158929318282</v>
      </c>
      <c r="AT28" s="7">
        <f t="shared" si="12"/>
        <v>0</v>
      </c>
      <c r="AU28" s="13">
        <v>375</v>
      </c>
      <c r="AV28" s="7">
        <f t="shared" si="12"/>
        <v>0.51086864942286614</v>
      </c>
      <c r="AW28" s="13">
        <v>375</v>
      </c>
      <c r="AX28" s="7">
        <f t="shared" si="12"/>
        <v>0</v>
      </c>
      <c r="AY28" s="13">
        <v>510</v>
      </c>
      <c r="AZ28" s="7">
        <f t="shared" si="13"/>
        <v>0.36</v>
      </c>
      <c r="BA28" s="13">
        <v>491.66666666666669</v>
      </c>
      <c r="BB28" s="7">
        <f t="shared" si="13"/>
        <v>-3.5947712418300595E-2</v>
      </c>
      <c r="BC28" s="13">
        <v>485.71428571428572</v>
      </c>
      <c r="BD28" s="7">
        <f t="shared" si="14"/>
        <v>-1.2106537530266337E-2</v>
      </c>
      <c r="BE28" s="13">
        <v>219.6653796653797</v>
      </c>
      <c r="BF28" s="7">
        <f t="shared" si="15"/>
        <v>-0.5477477477477477</v>
      </c>
      <c r="BG28" s="13">
        <v>171.73573573573572</v>
      </c>
      <c r="BH28" s="7">
        <f t="shared" si="16"/>
        <v>-0.21819389110225784</v>
      </c>
      <c r="BI28" s="13">
        <v>133.54954954954954</v>
      </c>
      <c r="BJ28" s="7">
        <f t="shared" si="17"/>
        <v>-0.22235434007134358</v>
      </c>
      <c r="BK28" s="13">
        <v>143.52638352638351</v>
      </c>
      <c r="BL28" s="7">
        <f t="shared" si="18"/>
        <v>7.4705111402359137E-2</v>
      </c>
      <c r="BM28" s="13">
        <v>173.28185328185327</v>
      </c>
      <c r="BN28" s="7">
        <f t="shared" si="18"/>
        <v>0.20731707317073172</v>
      </c>
      <c r="BO28" s="13">
        <v>143.40969540969539</v>
      </c>
      <c r="BP28" s="7">
        <f t="shared" si="18"/>
        <v>-0.17239057239057246</v>
      </c>
      <c r="BQ28" s="13">
        <v>144.98498498498498</v>
      </c>
      <c r="BR28" s="7">
        <f t="shared" si="18"/>
        <v>1.0984540276647721E-2</v>
      </c>
      <c r="BS28" s="13">
        <v>140.02574002574002</v>
      </c>
      <c r="BT28" s="7">
        <f t="shared" si="18"/>
        <v>-3.4205231388330051E-2</v>
      </c>
      <c r="BU28" s="13">
        <v>140.02574002574002</v>
      </c>
      <c r="BV28" s="7">
        <f t="shared" si="18"/>
        <v>0</v>
      </c>
      <c r="BW28" s="17">
        <v>130.82816149482815</v>
      </c>
      <c r="BX28" s="7">
        <f t="shared" si="19"/>
        <v>-6.5684912854030553E-2</v>
      </c>
      <c r="BY28" s="8">
        <f t="shared" si="20"/>
        <v>1.3315909969375315</v>
      </c>
    </row>
    <row r="29" spans="1:77" x14ac:dyDescent="0.25">
      <c r="A29" s="5" t="s">
        <v>162</v>
      </c>
      <c r="B29" s="5" t="s">
        <v>56</v>
      </c>
      <c r="C29" s="5" t="s">
        <v>57</v>
      </c>
      <c r="D29" s="9" t="s">
        <v>84</v>
      </c>
      <c r="E29" s="9" t="s">
        <v>112</v>
      </c>
      <c r="F29" s="10">
        <v>36.111111111111114</v>
      </c>
      <c r="G29" s="6">
        <v>35.888888888888886</v>
      </c>
      <c r="H29" s="7">
        <f t="shared" si="0"/>
        <v>-6.1538461538462744E-3</v>
      </c>
      <c r="I29" s="6">
        <v>38.666666666666664</v>
      </c>
      <c r="J29" s="7">
        <f t="shared" si="1"/>
        <v>7.7399380804953635E-2</v>
      </c>
      <c r="K29" s="6">
        <v>50</v>
      </c>
      <c r="L29" s="7">
        <f t="shared" si="1"/>
        <v>0.29310344827586221</v>
      </c>
      <c r="M29" s="11">
        <v>45</v>
      </c>
      <c r="N29" s="7">
        <f t="shared" si="2"/>
        <v>-0.1</v>
      </c>
      <c r="O29" s="11">
        <v>60</v>
      </c>
      <c r="P29" s="7">
        <f t="shared" si="3"/>
        <v>0.33333333333333315</v>
      </c>
      <c r="Q29" s="11">
        <v>55</v>
      </c>
      <c r="R29" s="7">
        <f t="shared" si="4"/>
        <v>-8.3333333333333426E-2</v>
      </c>
      <c r="S29" s="12">
        <v>27.5</v>
      </c>
      <c r="T29" s="7">
        <f t="shared" si="5"/>
        <v>-0.5</v>
      </c>
      <c r="U29" s="11">
        <v>27.5</v>
      </c>
      <c r="V29" s="7">
        <f t="shared" si="6"/>
        <v>0</v>
      </c>
      <c r="W29" s="11">
        <v>30</v>
      </c>
      <c r="X29" s="7">
        <f t="shared" si="7"/>
        <v>9.0909090909090787E-2</v>
      </c>
      <c r="Y29" s="13">
        <v>26.25</v>
      </c>
      <c r="Z29" s="7">
        <f t="shared" si="8"/>
        <v>-0.125</v>
      </c>
      <c r="AA29" s="13">
        <v>27.5</v>
      </c>
      <c r="AB29" s="7">
        <f t="shared" si="9"/>
        <v>4.7619047619047734E-2</v>
      </c>
      <c r="AC29" s="13">
        <v>43.4375</v>
      </c>
      <c r="AD29" s="7">
        <f t="shared" si="10"/>
        <v>0.5795454545454547</v>
      </c>
      <c r="AE29" s="13">
        <v>47.5</v>
      </c>
      <c r="AF29" s="7">
        <f t="shared" si="11"/>
        <v>9.3525179856115137E-2</v>
      </c>
      <c r="AG29" s="13">
        <v>65.833333333333329</v>
      </c>
      <c r="AH29" s="7">
        <f t="shared" si="11"/>
        <v>0.38596491228070162</v>
      </c>
      <c r="AI29" s="13">
        <v>67</v>
      </c>
      <c r="AJ29" s="7">
        <f t="shared" si="11"/>
        <v>1.7721518987341936E-2</v>
      </c>
      <c r="AK29" s="13">
        <v>34.821428571428562</v>
      </c>
      <c r="AL29" s="7">
        <f t="shared" si="11"/>
        <v>-0.48027718550106629</v>
      </c>
      <c r="AM29" s="13">
        <v>35</v>
      </c>
      <c r="AN29" s="7">
        <f t="shared" si="11"/>
        <v>5.1282051282053945E-3</v>
      </c>
      <c r="AO29" s="13">
        <v>35</v>
      </c>
      <c r="AP29" s="7">
        <f t="shared" si="11"/>
        <v>0</v>
      </c>
      <c r="AQ29" s="13">
        <v>42.5</v>
      </c>
      <c r="AR29" s="7">
        <f t="shared" si="12"/>
        <v>0.21428571428571416</v>
      </c>
      <c r="AS29" s="13">
        <v>50</v>
      </c>
      <c r="AT29" s="7">
        <f t="shared" si="12"/>
        <v>0.17647058823529421</v>
      </c>
      <c r="AU29" s="13">
        <v>70</v>
      </c>
      <c r="AV29" s="7">
        <f t="shared" si="12"/>
        <v>0.4</v>
      </c>
      <c r="AW29" s="13">
        <v>70</v>
      </c>
      <c r="AX29" s="7">
        <f t="shared" si="12"/>
        <v>0</v>
      </c>
      <c r="AY29" s="13">
        <v>93.125</v>
      </c>
      <c r="AZ29" s="7">
        <f t="shared" si="13"/>
        <v>0.33035714285714279</v>
      </c>
      <c r="BA29" s="13">
        <v>55.833333333333329</v>
      </c>
      <c r="BB29" s="7">
        <f t="shared" si="13"/>
        <v>-0.40044742729306493</v>
      </c>
      <c r="BC29" s="13">
        <v>27.5</v>
      </c>
      <c r="BD29" s="7">
        <f t="shared" si="14"/>
        <v>-0.5074626865671642</v>
      </c>
      <c r="BE29" s="13">
        <v>28.833333333333332</v>
      </c>
      <c r="BF29" s="7">
        <f t="shared" si="15"/>
        <v>4.8484848484848297E-2</v>
      </c>
      <c r="BG29" s="13">
        <v>42.5</v>
      </c>
      <c r="BH29" s="7">
        <f t="shared" si="16"/>
        <v>0.47398843930635848</v>
      </c>
      <c r="BI29" s="13">
        <v>41.35820895522388</v>
      </c>
      <c r="BJ29" s="7">
        <f t="shared" si="17"/>
        <v>-2.6865671641791097E-2</v>
      </c>
      <c r="BK29" s="13">
        <v>42.046908315565027</v>
      </c>
      <c r="BL29" s="7">
        <f t="shared" si="18"/>
        <v>1.6652059596844709E-2</v>
      </c>
      <c r="BM29" s="13">
        <v>40</v>
      </c>
      <c r="BN29" s="7">
        <f t="shared" si="18"/>
        <v>-4.868154158214992E-2</v>
      </c>
      <c r="BO29" s="13">
        <v>40</v>
      </c>
      <c r="BP29" s="7">
        <f t="shared" si="18"/>
        <v>0</v>
      </c>
      <c r="BQ29" s="13">
        <v>43.75</v>
      </c>
      <c r="BR29" s="7">
        <f t="shared" si="18"/>
        <v>9.375E-2</v>
      </c>
      <c r="BS29" s="13">
        <v>43.555555555555557</v>
      </c>
      <c r="BT29" s="7">
        <f t="shared" si="18"/>
        <v>-4.4444444444444288E-3</v>
      </c>
      <c r="BU29" s="13">
        <v>44.666666666666664</v>
      </c>
      <c r="BV29" s="7">
        <f t="shared" si="18"/>
        <v>2.5510204081632678E-2</v>
      </c>
      <c r="BW29" s="17">
        <v>41.761904761904759</v>
      </c>
      <c r="BX29" s="7">
        <f t="shared" si="19"/>
        <v>-6.5031982942430774E-2</v>
      </c>
      <c r="BY29" s="8">
        <f t="shared" si="20"/>
        <v>0.15648351648351636</v>
      </c>
    </row>
    <row r="30" spans="1:77" x14ac:dyDescent="0.25">
      <c r="A30" s="5" t="s">
        <v>163</v>
      </c>
      <c r="B30" s="5" t="s">
        <v>58</v>
      </c>
      <c r="C30" s="5" t="s">
        <v>59</v>
      </c>
      <c r="D30" s="9" t="s">
        <v>87</v>
      </c>
      <c r="E30" s="9" t="s">
        <v>113</v>
      </c>
      <c r="F30" s="10">
        <v>3.8714285714285714</v>
      </c>
      <c r="G30" s="6">
        <v>3.9285714285714284</v>
      </c>
      <c r="H30" s="7">
        <f t="shared" si="0"/>
        <v>1.4760147601476063E-2</v>
      </c>
      <c r="I30" s="6">
        <v>6</v>
      </c>
      <c r="J30" s="7">
        <f t="shared" si="1"/>
        <v>0.52727272727272745</v>
      </c>
      <c r="K30" s="6">
        <v>6</v>
      </c>
      <c r="L30" s="7">
        <f t="shared" si="1"/>
        <v>0</v>
      </c>
      <c r="M30" s="11">
        <v>6</v>
      </c>
      <c r="N30" s="7">
        <f t="shared" si="2"/>
        <v>0</v>
      </c>
      <c r="O30" s="11">
        <v>7</v>
      </c>
      <c r="P30" s="7">
        <f t="shared" si="3"/>
        <v>0.16666666666666671</v>
      </c>
      <c r="Q30" s="11">
        <v>7</v>
      </c>
      <c r="R30" s="7">
        <f t="shared" si="4"/>
        <v>0</v>
      </c>
      <c r="S30" s="12">
        <v>6.25</v>
      </c>
      <c r="T30" s="7">
        <f t="shared" si="5"/>
        <v>-0.10714285714285708</v>
      </c>
      <c r="U30" s="11">
        <v>5.25</v>
      </c>
      <c r="V30" s="7">
        <f t="shared" si="6"/>
        <v>-0.16</v>
      </c>
      <c r="W30" s="11">
        <v>4.625</v>
      </c>
      <c r="X30" s="7">
        <f t="shared" si="7"/>
        <v>-0.11904761904761912</v>
      </c>
      <c r="Y30" s="13">
        <v>5.5</v>
      </c>
      <c r="Z30" s="7">
        <f t="shared" si="8"/>
        <v>0.1891891891891892</v>
      </c>
      <c r="AA30" s="13">
        <v>10.5</v>
      </c>
      <c r="AB30" s="7">
        <f t="shared" si="9"/>
        <v>0.90909090909090906</v>
      </c>
      <c r="AC30" s="13">
        <v>10.5</v>
      </c>
      <c r="AD30" s="7">
        <f t="shared" si="10"/>
        <v>0</v>
      </c>
      <c r="AE30" s="13">
        <v>12.5</v>
      </c>
      <c r="AF30" s="7">
        <f t="shared" si="11"/>
        <v>0.19047619047619052</v>
      </c>
      <c r="AG30" s="13">
        <v>31.875</v>
      </c>
      <c r="AH30" s="7">
        <f t="shared" si="11"/>
        <v>1.5499999999999998</v>
      </c>
      <c r="AI30" s="13">
        <v>31.875</v>
      </c>
      <c r="AJ30" s="7">
        <f t="shared" si="11"/>
        <v>0</v>
      </c>
      <c r="AK30" s="13">
        <v>10.199999999999994</v>
      </c>
      <c r="AL30" s="7">
        <f t="shared" si="11"/>
        <v>-0.68000000000000027</v>
      </c>
      <c r="AM30" s="13">
        <v>10.3125</v>
      </c>
      <c r="AN30" s="7">
        <f t="shared" si="11"/>
        <v>1.1029411764706509E-2</v>
      </c>
      <c r="AO30" s="13">
        <v>9</v>
      </c>
      <c r="AP30" s="7">
        <f t="shared" si="11"/>
        <v>-0.12727272727272734</v>
      </c>
      <c r="AQ30" s="13">
        <v>17.343814789219081</v>
      </c>
      <c r="AR30" s="7">
        <f t="shared" si="12"/>
        <v>0.92709053213545334</v>
      </c>
      <c r="AS30" s="13">
        <v>29.248445058742252</v>
      </c>
      <c r="AT30" s="7">
        <f t="shared" si="12"/>
        <v>0.68639053254437954</v>
      </c>
      <c r="AU30" s="13">
        <v>25.5</v>
      </c>
      <c r="AV30" s="7">
        <f t="shared" si="12"/>
        <v>-0.12815878079036053</v>
      </c>
      <c r="AW30" s="13">
        <v>25.5</v>
      </c>
      <c r="AX30" s="7">
        <f t="shared" si="12"/>
        <v>0</v>
      </c>
      <c r="AY30" s="13">
        <v>5.7611111111111128</v>
      </c>
      <c r="AZ30" s="7">
        <f t="shared" si="13"/>
        <v>-0.77407407407407403</v>
      </c>
      <c r="BA30" s="13">
        <v>15</v>
      </c>
      <c r="BB30" s="7">
        <f t="shared" si="13"/>
        <v>1.6036644165863054</v>
      </c>
      <c r="BC30" s="13">
        <v>6.9135802469135754</v>
      </c>
      <c r="BD30" s="7">
        <f t="shared" si="14"/>
        <v>-0.53909465020576164</v>
      </c>
      <c r="BE30" s="13">
        <v>3.5</v>
      </c>
      <c r="BF30" s="7">
        <f t="shared" si="15"/>
        <v>-0.49374999999999969</v>
      </c>
      <c r="BG30" s="13">
        <v>5.1818181818181843</v>
      </c>
      <c r="BH30" s="7">
        <f t="shared" si="16"/>
        <v>0.48051948051948129</v>
      </c>
      <c r="BI30" s="13">
        <v>5.400000000000003</v>
      </c>
      <c r="BJ30" s="7">
        <f t="shared" si="17"/>
        <v>4.2105263157894798E-2</v>
      </c>
      <c r="BK30" s="13">
        <v>5.2916666666666652</v>
      </c>
      <c r="BL30" s="7">
        <f t="shared" si="18"/>
        <v>-2.0061728395062629E-2</v>
      </c>
      <c r="BM30" s="13">
        <v>5</v>
      </c>
      <c r="BN30" s="7">
        <f t="shared" si="18"/>
        <v>-5.5118110236220305E-2</v>
      </c>
      <c r="BO30" s="13">
        <v>4.875</v>
      </c>
      <c r="BP30" s="7">
        <f t="shared" si="18"/>
        <v>-2.5000000000000001E-2</v>
      </c>
      <c r="BQ30" s="13">
        <v>6.0749999999999966</v>
      </c>
      <c r="BR30" s="7">
        <f t="shared" si="18"/>
        <v>0.24615384615384556</v>
      </c>
      <c r="BS30" s="13">
        <v>6.5428571428571427</v>
      </c>
      <c r="BT30" s="7">
        <f t="shared" si="18"/>
        <v>7.7013521457966624E-2</v>
      </c>
      <c r="BU30" s="13">
        <v>6.1142857142857139</v>
      </c>
      <c r="BV30" s="7">
        <f t="shared" si="18"/>
        <v>-6.5502183406113523E-2</v>
      </c>
      <c r="BW30" s="17">
        <v>6.1142857142857139</v>
      </c>
      <c r="BX30" s="7">
        <f t="shared" si="19"/>
        <v>0</v>
      </c>
      <c r="BY30" s="8">
        <f t="shared" si="20"/>
        <v>0.5793357933579335</v>
      </c>
    </row>
    <row r="31" spans="1:77" x14ac:dyDescent="0.25">
      <c r="A31" s="5" t="s">
        <v>164</v>
      </c>
      <c r="B31" s="5" t="s">
        <v>60</v>
      </c>
      <c r="C31" s="5" t="s">
        <v>61</v>
      </c>
      <c r="D31" s="9" t="s">
        <v>86</v>
      </c>
      <c r="E31" s="9" t="s">
        <v>114</v>
      </c>
      <c r="F31" s="10">
        <v>35.6</v>
      </c>
      <c r="G31" s="6">
        <v>36.200000000000003</v>
      </c>
      <c r="H31" s="7">
        <f t="shared" si="0"/>
        <v>1.6853932584269558E-2</v>
      </c>
      <c r="I31" s="6">
        <v>40.4</v>
      </c>
      <c r="J31" s="7">
        <f t="shared" si="1"/>
        <v>0.11602209944751365</v>
      </c>
      <c r="K31" s="6">
        <v>120</v>
      </c>
      <c r="L31" s="7">
        <f t="shared" si="1"/>
        <v>1.9702970297029703</v>
      </c>
      <c r="M31" s="11">
        <v>190</v>
      </c>
      <c r="N31" s="7">
        <f t="shared" si="2"/>
        <v>0.58333333333333315</v>
      </c>
      <c r="O31" s="11">
        <v>473.33333333333337</v>
      </c>
      <c r="P31" s="7">
        <f t="shared" si="3"/>
        <v>1.491228070175439</v>
      </c>
      <c r="Q31" s="11">
        <v>545</v>
      </c>
      <c r="R31" s="7">
        <f t="shared" si="4"/>
        <v>0.15140845070422529</v>
      </c>
      <c r="S31" s="12">
        <v>105</v>
      </c>
      <c r="T31" s="7">
        <f t="shared" si="5"/>
        <v>-0.80733944954128445</v>
      </c>
      <c r="U31" s="11">
        <v>172.5</v>
      </c>
      <c r="V31" s="7">
        <f t="shared" si="6"/>
        <v>0.64285714285714279</v>
      </c>
      <c r="W31" s="11">
        <v>71.25</v>
      </c>
      <c r="X31" s="7">
        <f t="shared" si="7"/>
        <v>-0.58695652173913049</v>
      </c>
      <c r="Y31" s="13">
        <v>61.25</v>
      </c>
      <c r="Z31" s="7">
        <f t="shared" si="8"/>
        <v>-0.14035087719298248</v>
      </c>
      <c r="AA31" s="13">
        <v>56</v>
      </c>
      <c r="AB31" s="7">
        <f t="shared" si="9"/>
        <v>-8.5714285714285687E-2</v>
      </c>
      <c r="AC31" s="13">
        <v>176.87500000000003</v>
      </c>
      <c r="AD31" s="7">
        <f t="shared" si="10"/>
        <v>2.1584821428571432</v>
      </c>
      <c r="AE31" s="13">
        <v>383.12500000000006</v>
      </c>
      <c r="AF31" s="7">
        <f t="shared" si="11"/>
        <v>1.1660777385159009</v>
      </c>
      <c r="AG31" s="13">
        <v>509.1666666666668</v>
      </c>
      <c r="AH31" s="7">
        <f t="shared" si="11"/>
        <v>0.32898314301250708</v>
      </c>
      <c r="AI31" s="13">
        <v>350.96153846153851</v>
      </c>
      <c r="AJ31" s="7">
        <f t="shared" si="11"/>
        <v>-0.31071383608208492</v>
      </c>
      <c r="AK31" s="13">
        <v>137.50000000000003</v>
      </c>
      <c r="AL31" s="7">
        <f t="shared" si="11"/>
        <v>-0.60821917808219172</v>
      </c>
      <c r="AM31" s="13">
        <v>61.250000000000014</v>
      </c>
      <c r="AN31" s="7">
        <f t="shared" si="11"/>
        <v>-0.55454545454545456</v>
      </c>
      <c r="AO31" s="13">
        <v>95.000000000000014</v>
      </c>
      <c r="AP31" s="7">
        <f t="shared" si="11"/>
        <v>0.55102040816326536</v>
      </c>
      <c r="AQ31" s="13">
        <v>363.88888888888897</v>
      </c>
      <c r="AR31" s="7">
        <f t="shared" si="12"/>
        <v>2.8304093567251467</v>
      </c>
      <c r="AS31" s="13">
        <v>996.42857142857133</v>
      </c>
      <c r="AT31" s="7">
        <f t="shared" si="12"/>
        <v>1.7382769901853863</v>
      </c>
      <c r="AU31" s="13">
        <v>2227.0833333333335</v>
      </c>
      <c r="AV31" s="7">
        <f t="shared" si="12"/>
        <v>1.2350657108721628</v>
      </c>
      <c r="AW31" s="13">
        <v>3072.8571428571431</v>
      </c>
      <c r="AX31" s="7">
        <f t="shared" si="12"/>
        <v>0.37976747293866109</v>
      </c>
      <c r="AY31" s="13">
        <v>864.54545454545462</v>
      </c>
      <c r="AZ31" s="7">
        <f t="shared" si="13"/>
        <v>-0.71865094459236711</v>
      </c>
      <c r="BA31" s="13">
        <v>130.90909090909093</v>
      </c>
      <c r="BB31" s="7">
        <f t="shared" si="13"/>
        <v>-0.84858044164037849</v>
      </c>
      <c r="BC31" s="13">
        <v>69.090909090909108</v>
      </c>
      <c r="BD31" s="7">
        <f t="shared" si="14"/>
        <v>-0.47222222222222221</v>
      </c>
      <c r="BE31" s="13">
        <v>48.750000000000007</v>
      </c>
      <c r="BF31" s="7">
        <f t="shared" si="15"/>
        <v>-0.2944078947368422</v>
      </c>
      <c r="BG31" s="13">
        <v>41.363636363636374</v>
      </c>
      <c r="BH31" s="7">
        <f t="shared" si="16"/>
        <v>-0.15151515151515141</v>
      </c>
      <c r="BI31" s="13">
        <v>41.250000000000007</v>
      </c>
      <c r="BJ31" s="7">
        <f t="shared" si="17"/>
        <v>-2.7472527472528442E-3</v>
      </c>
      <c r="BK31" s="13">
        <v>39.545454545454554</v>
      </c>
      <c r="BL31" s="7">
        <f t="shared" si="18"/>
        <v>-4.1322314049586736E-2</v>
      </c>
      <c r="BM31" s="13">
        <v>50.000000000000014</v>
      </c>
      <c r="BN31" s="7">
        <f t="shared" si="18"/>
        <v>0.26436781609195409</v>
      </c>
      <c r="BO31" s="13">
        <v>47.000000000000014</v>
      </c>
      <c r="BP31" s="7">
        <f t="shared" si="18"/>
        <v>-0.06</v>
      </c>
      <c r="BQ31" s="13">
        <v>40.000000000000014</v>
      </c>
      <c r="BR31" s="7">
        <f t="shared" si="18"/>
        <v>-0.14893617021276598</v>
      </c>
      <c r="BS31" s="13">
        <v>40</v>
      </c>
      <c r="BT31" s="7">
        <f t="shared" si="18"/>
        <v>-2.8421709430404008E-16</v>
      </c>
      <c r="BU31" s="13">
        <v>42</v>
      </c>
      <c r="BV31" s="7">
        <f t="shared" si="18"/>
        <v>0.05</v>
      </c>
      <c r="BW31" s="17">
        <v>36.222222222222221</v>
      </c>
      <c r="BX31" s="7">
        <f t="shared" si="19"/>
        <v>-0.13756613756613759</v>
      </c>
      <c r="BY31" s="8">
        <f t="shared" si="20"/>
        <v>1.7478152309613079E-2</v>
      </c>
    </row>
    <row r="32" spans="1:77" x14ac:dyDescent="0.25">
      <c r="A32" s="5" t="s">
        <v>165</v>
      </c>
      <c r="B32" s="5" t="s">
        <v>62</v>
      </c>
      <c r="C32" s="5" t="s">
        <v>63</v>
      </c>
      <c r="D32" s="9" t="s">
        <v>85</v>
      </c>
      <c r="E32" s="9" t="s">
        <v>104</v>
      </c>
      <c r="F32" s="10">
        <v>1.5</v>
      </c>
      <c r="G32" s="6">
        <v>1.5</v>
      </c>
      <c r="H32" s="7">
        <f t="shared" si="0"/>
        <v>0</v>
      </c>
      <c r="I32" s="6">
        <v>2.5</v>
      </c>
      <c r="J32" s="7">
        <f t="shared" si="1"/>
        <v>0.66666666666666685</v>
      </c>
      <c r="K32" s="6">
        <v>19.5</v>
      </c>
      <c r="L32" s="7">
        <f t="shared" si="1"/>
        <v>6.8</v>
      </c>
      <c r="M32" s="11">
        <v>8.5</v>
      </c>
      <c r="N32" s="7">
        <f t="shared" si="2"/>
        <v>-0.5641025641025641</v>
      </c>
      <c r="O32" s="11">
        <v>5</v>
      </c>
      <c r="P32" s="7">
        <f t="shared" si="3"/>
        <v>-0.41176470588235292</v>
      </c>
      <c r="Q32" s="11">
        <v>7.5</v>
      </c>
      <c r="R32" s="7">
        <f t="shared" si="4"/>
        <v>0.5</v>
      </c>
      <c r="S32" s="12">
        <v>7.75</v>
      </c>
      <c r="T32" s="7">
        <f t="shared" si="5"/>
        <v>3.333333333333343E-2</v>
      </c>
      <c r="U32" s="11">
        <v>7.5</v>
      </c>
      <c r="V32" s="7">
        <f t="shared" si="6"/>
        <v>-3.2258064516128969E-2</v>
      </c>
      <c r="W32" s="11">
        <v>5</v>
      </c>
      <c r="X32" s="7">
        <f t="shared" si="7"/>
        <v>-0.33333333333333343</v>
      </c>
      <c r="Y32" s="13">
        <v>4.5</v>
      </c>
      <c r="Z32" s="7">
        <f t="shared" si="8"/>
        <v>-0.1</v>
      </c>
      <c r="AA32" s="13">
        <v>3.5</v>
      </c>
      <c r="AB32" s="7">
        <f t="shared" si="9"/>
        <v>-0.22222222222222215</v>
      </c>
      <c r="AC32" s="13">
        <v>3.5</v>
      </c>
      <c r="AD32" s="7">
        <f t="shared" si="10"/>
        <v>0</v>
      </c>
      <c r="AE32" s="13">
        <v>5.6818181818181817</v>
      </c>
      <c r="AF32" s="7">
        <f t="shared" si="11"/>
        <v>0.62337662337662325</v>
      </c>
      <c r="AG32" s="13">
        <v>8.115384615384615</v>
      </c>
      <c r="AH32" s="7">
        <f t="shared" si="11"/>
        <v>0.42830769230769222</v>
      </c>
      <c r="AI32" s="13">
        <v>13.75</v>
      </c>
      <c r="AJ32" s="7">
        <f t="shared" si="11"/>
        <v>0.69431279620853104</v>
      </c>
      <c r="AK32" s="13">
        <v>8.1000000000000014</v>
      </c>
      <c r="AL32" s="7">
        <f t="shared" si="11"/>
        <v>-0.41090909090909078</v>
      </c>
      <c r="AM32" s="13">
        <v>2.3125</v>
      </c>
      <c r="AN32" s="7">
        <f t="shared" si="11"/>
        <v>-0.71450617283950624</v>
      </c>
      <c r="AO32" s="13">
        <v>2.7</v>
      </c>
      <c r="AP32" s="7">
        <f t="shared" si="11"/>
        <v>0.16756756756756758</v>
      </c>
      <c r="AQ32" s="13">
        <v>15.083333333333334</v>
      </c>
      <c r="AR32" s="7">
        <f t="shared" si="12"/>
        <v>4.5864197530864192</v>
      </c>
      <c r="AS32" s="13">
        <v>21.916666666666664</v>
      </c>
      <c r="AT32" s="7">
        <f t="shared" si="12"/>
        <v>0.45303867403314885</v>
      </c>
      <c r="AU32" s="13">
        <v>22.75</v>
      </c>
      <c r="AV32" s="7">
        <f t="shared" si="12"/>
        <v>3.8022813688212975E-2</v>
      </c>
      <c r="AW32" s="13">
        <v>7.4666666666666668</v>
      </c>
      <c r="AX32" s="7">
        <f t="shared" si="12"/>
        <v>-0.67179487179487185</v>
      </c>
      <c r="AY32" s="13">
        <v>4.666666666666667</v>
      </c>
      <c r="AZ32" s="7">
        <f t="shared" si="13"/>
        <v>-0.375</v>
      </c>
      <c r="BA32" s="13">
        <v>4.5454545454545459</v>
      </c>
      <c r="BB32" s="7">
        <f t="shared" si="13"/>
        <v>-2.597402597402592E-2</v>
      </c>
      <c r="BC32" s="13">
        <v>5.0909090909090908</v>
      </c>
      <c r="BD32" s="7">
        <f t="shared" si="14"/>
        <v>0.11999999999999986</v>
      </c>
      <c r="BE32" s="13">
        <v>3</v>
      </c>
      <c r="BF32" s="7">
        <f t="shared" si="15"/>
        <v>-0.4107142857142857</v>
      </c>
      <c r="BG32" s="13">
        <v>3</v>
      </c>
      <c r="BH32" s="7">
        <f t="shared" si="16"/>
        <v>0</v>
      </c>
      <c r="BI32" s="13">
        <v>3.1666666666666665</v>
      </c>
      <c r="BJ32" s="7">
        <f t="shared" si="17"/>
        <v>5.5555555555555573E-2</v>
      </c>
      <c r="BK32" s="13">
        <v>2.8571428571428572</v>
      </c>
      <c r="BL32" s="7">
        <f t="shared" si="18"/>
        <v>-9.7744360902255634E-2</v>
      </c>
      <c r="BM32" s="13">
        <v>3.4285714285714284</v>
      </c>
      <c r="BN32" s="7">
        <f t="shared" si="18"/>
        <v>0.2</v>
      </c>
      <c r="BO32" s="13">
        <v>3</v>
      </c>
      <c r="BP32" s="7">
        <f t="shared" si="18"/>
        <v>-0.125</v>
      </c>
      <c r="BQ32" s="13">
        <v>3.5</v>
      </c>
      <c r="BR32" s="7">
        <f t="shared" si="18"/>
        <v>0.16666666666666671</v>
      </c>
      <c r="BS32" s="13">
        <v>3.4</v>
      </c>
      <c r="BT32" s="7">
        <f t="shared" si="18"/>
        <v>-2.8571428571428612E-2</v>
      </c>
      <c r="BU32" s="13">
        <v>4.4000000000000004</v>
      </c>
      <c r="BV32" s="7">
        <f t="shared" si="18"/>
        <v>0.29411764705882348</v>
      </c>
      <c r="BW32" s="17">
        <v>4.4000000000000004</v>
      </c>
      <c r="BX32" s="7">
        <f t="shared" si="19"/>
        <v>0</v>
      </c>
      <c r="BY32" s="8">
        <f t="shared" si="20"/>
        <v>1.9333333333333338</v>
      </c>
    </row>
    <row r="33" spans="1:77" x14ac:dyDescent="0.25">
      <c r="A33" s="5" t="s">
        <v>166</v>
      </c>
      <c r="B33" s="5" t="s">
        <v>64</v>
      </c>
      <c r="C33" s="5" t="s">
        <v>65</v>
      </c>
      <c r="D33" s="9" t="s">
        <v>88</v>
      </c>
      <c r="E33" s="9" t="s">
        <v>115</v>
      </c>
      <c r="F33" s="10">
        <v>5.6363636363636367</v>
      </c>
      <c r="G33" s="6">
        <v>5.6363636363636367</v>
      </c>
      <c r="H33" s="7">
        <f t="shared" si="0"/>
        <v>0</v>
      </c>
      <c r="I33" s="6">
        <v>8</v>
      </c>
      <c r="J33" s="7">
        <f t="shared" si="1"/>
        <v>0.41935483870967716</v>
      </c>
      <c r="K33" s="6">
        <v>32.5</v>
      </c>
      <c r="L33" s="7">
        <f t="shared" si="1"/>
        <v>3.0625</v>
      </c>
      <c r="M33" s="11">
        <v>11.024999999999988</v>
      </c>
      <c r="N33" s="7">
        <f t="shared" si="2"/>
        <v>-0.66076923076923122</v>
      </c>
      <c r="O33" s="11">
        <v>35</v>
      </c>
      <c r="P33" s="7">
        <f t="shared" si="3"/>
        <v>2.174603174603178</v>
      </c>
      <c r="Q33" s="11">
        <v>46.25</v>
      </c>
      <c r="R33" s="7">
        <f t="shared" si="4"/>
        <v>0.3214285714285714</v>
      </c>
      <c r="S33" s="12">
        <v>20.75</v>
      </c>
      <c r="T33" s="7">
        <f t="shared" si="5"/>
        <v>-0.55135135135135127</v>
      </c>
      <c r="U33" s="11">
        <v>11.700000000000012</v>
      </c>
      <c r="V33" s="7">
        <f t="shared" si="6"/>
        <v>-0.43614457831325248</v>
      </c>
      <c r="W33" s="11">
        <v>7.6499999999999915</v>
      </c>
      <c r="X33" s="7">
        <f t="shared" si="7"/>
        <v>-0.34615384615384753</v>
      </c>
      <c r="Y33" s="13">
        <v>7.1999999999999922</v>
      </c>
      <c r="Z33" s="7">
        <f t="shared" si="8"/>
        <v>-5.8823529411764781E-2</v>
      </c>
      <c r="AA33" s="13">
        <v>7.1999999999999922</v>
      </c>
      <c r="AB33" s="7">
        <f t="shared" si="9"/>
        <v>0</v>
      </c>
      <c r="AC33" s="13">
        <v>6.3000000000000069</v>
      </c>
      <c r="AD33" s="7">
        <f t="shared" si="10"/>
        <v>-0.12499999999999815</v>
      </c>
      <c r="AE33" s="13">
        <v>21.974999999999984</v>
      </c>
      <c r="AF33" s="7">
        <f t="shared" si="11"/>
        <v>2.4880952380952319</v>
      </c>
      <c r="AG33" s="13">
        <v>25.831249999999972</v>
      </c>
      <c r="AH33" s="7">
        <f t="shared" si="11"/>
        <v>0.17548350398179707</v>
      </c>
      <c r="AI33" s="13">
        <v>18.583333333333332</v>
      </c>
      <c r="AJ33" s="7">
        <f t="shared" si="11"/>
        <v>-0.28058714412452546</v>
      </c>
      <c r="AK33" s="13">
        <v>19.25</v>
      </c>
      <c r="AL33" s="7">
        <f t="shared" si="11"/>
        <v>3.5874439461883581E-2</v>
      </c>
      <c r="AM33" s="13">
        <v>8.8125</v>
      </c>
      <c r="AN33" s="7">
        <f t="shared" si="11"/>
        <v>-0.54220779220779225</v>
      </c>
      <c r="AO33" s="13">
        <v>8.6000000000000103</v>
      </c>
      <c r="AP33" s="7">
        <f t="shared" si="11"/>
        <v>-2.4113475177303768E-2</v>
      </c>
      <c r="AQ33" s="13">
        <v>29.299999999999969</v>
      </c>
      <c r="AR33" s="7">
        <f t="shared" si="12"/>
        <v>2.4069767441860388</v>
      </c>
      <c r="AS33" s="13">
        <v>25.5</v>
      </c>
      <c r="AT33" s="7">
        <f t="shared" si="12"/>
        <v>-0.12969283276450411</v>
      </c>
      <c r="AU33" s="13">
        <v>45.75</v>
      </c>
      <c r="AV33" s="7">
        <f t="shared" si="12"/>
        <v>0.79411764705882348</v>
      </c>
      <c r="AW33" s="13">
        <v>60.833333333333385</v>
      </c>
      <c r="AX33" s="7">
        <f t="shared" si="12"/>
        <v>0.32969034608378989</v>
      </c>
      <c r="AY33" s="13">
        <v>59.444444444444372</v>
      </c>
      <c r="AZ33" s="7">
        <f t="shared" si="13"/>
        <v>-2.2831050228312506E-2</v>
      </c>
      <c r="BA33" s="13">
        <v>17.875</v>
      </c>
      <c r="BB33" s="7">
        <f t="shared" si="13"/>
        <v>-0.69929906542056031</v>
      </c>
      <c r="BC33" s="13">
        <v>11.666666666666657</v>
      </c>
      <c r="BD33" s="7">
        <f t="shared" si="14"/>
        <v>-0.34731934731934788</v>
      </c>
      <c r="BE33" s="13">
        <v>7.6666666666666741</v>
      </c>
      <c r="BF33" s="7">
        <f t="shared" si="15"/>
        <v>-0.34285714285714164</v>
      </c>
      <c r="BG33" s="13">
        <v>6.4444444444444526</v>
      </c>
      <c r="BH33" s="7">
        <f t="shared" si="16"/>
        <v>-0.1594202898550722</v>
      </c>
      <c r="BI33" s="13">
        <v>6.1666666666666714</v>
      </c>
      <c r="BJ33" s="7">
        <f t="shared" si="17"/>
        <v>-4.3103448275862488E-2</v>
      </c>
      <c r="BK33" s="13">
        <v>6</v>
      </c>
      <c r="BL33" s="7">
        <f t="shared" si="18"/>
        <v>-2.7027027027027799E-2</v>
      </c>
      <c r="BM33" s="13">
        <v>7.75</v>
      </c>
      <c r="BN33" s="7">
        <f t="shared" si="18"/>
        <v>0.29166666666666685</v>
      </c>
      <c r="BO33" s="13">
        <v>8</v>
      </c>
      <c r="BP33" s="7">
        <f t="shared" si="18"/>
        <v>3.2258064516128969E-2</v>
      </c>
      <c r="BQ33" s="13">
        <v>7.6000000000000085</v>
      </c>
      <c r="BR33" s="7">
        <f t="shared" si="18"/>
        <v>-4.9999999999998865E-2</v>
      </c>
      <c r="BS33" s="13">
        <v>9.3636363636363633</v>
      </c>
      <c r="BT33" s="7">
        <f t="shared" si="18"/>
        <v>0.23205741626794121</v>
      </c>
      <c r="BU33" s="13">
        <v>8.9393939393939394</v>
      </c>
      <c r="BV33" s="7">
        <f t="shared" si="18"/>
        <v>-4.5307443365695692E-2</v>
      </c>
      <c r="BW33" s="17">
        <v>9.0227272727272734</v>
      </c>
      <c r="BX33" s="7">
        <f t="shared" si="19"/>
        <v>9.3220338983050505E-3</v>
      </c>
      <c r="BY33" s="8">
        <f t="shared" si="20"/>
        <v>0.60080645161290336</v>
      </c>
    </row>
    <row r="34" spans="1:77" x14ac:dyDescent="0.25">
      <c r="A34" s="5" t="s">
        <v>167</v>
      </c>
      <c r="B34" s="5" t="s">
        <v>66</v>
      </c>
      <c r="C34" s="5" t="s">
        <v>17</v>
      </c>
      <c r="D34" s="9" t="s">
        <v>89</v>
      </c>
      <c r="E34" s="9" t="s">
        <v>104</v>
      </c>
      <c r="F34" s="10">
        <v>42.07692307692308</v>
      </c>
      <c r="G34" s="6">
        <v>41.769230769230766</v>
      </c>
      <c r="H34" s="7">
        <f t="shared" si="0"/>
        <v>-7.3126142595980074E-3</v>
      </c>
      <c r="I34" s="6">
        <v>70</v>
      </c>
      <c r="J34" s="7">
        <f t="shared" si="1"/>
        <v>0.67587476979742178</v>
      </c>
      <c r="K34" s="6">
        <v>140</v>
      </c>
      <c r="L34" s="7">
        <f t="shared" si="1"/>
        <v>1</v>
      </c>
      <c r="M34" s="11">
        <v>160</v>
      </c>
      <c r="N34" s="7">
        <f t="shared" si="2"/>
        <v>0.14285714285714277</v>
      </c>
      <c r="O34" s="11">
        <v>273.33333333333337</v>
      </c>
      <c r="P34" s="7">
        <f t="shared" si="3"/>
        <v>0.70833333333333348</v>
      </c>
      <c r="Q34" s="11">
        <v>325</v>
      </c>
      <c r="R34" s="7">
        <f t="shared" si="4"/>
        <v>0.18902439024390233</v>
      </c>
      <c r="S34" s="12">
        <v>135</v>
      </c>
      <c r="T34" s="7">
        <f t="shared" si="5"/>
        <v>-0.58461538461538465</v>
      </c>
      <c r="U34" s="11">
        <v>110</v>
      </c>
      <c r="V34" s="7">
        <f t="shared" si="6"/>
        <v>-0.1851851851851852</v>
      </c>
      <c r="W34" s="11">
        <v>100</v>
      </c>
      <c r="X34" s="7">
        <f t="shared" si="7"/>
        <v>-9.0909090909090939E-2</v>
      </c>
      <c r="Y34" s="13">
        <v>100</v>
      </c>
      <c r="Z34" s="7">
        <f t="shared" si="8"/>
        <v>0</v>
      </c>
      <c r="AA34" s="13">
        <v>100</v>
      </c>
      <c r="AB34" s="7">
        <f t="shared" si="9"/>
        <v>0</v>
      </c>
      <c r="AC34" s="13">
        <v>59.25</v>
      </c>
      <c r="AD34" s="7">
        <f t="shared" si="10"/>
        <v>-0.40749999999999997</v>
      </c>
      <c r="AE34" s="13">
        <v>108.16666666666667</v>
      </c>
      <c r="AF34" s="7">
        <f t="shared" si="11"/>
        <v>0.82559774964838251</v>
      </c>
      <c r="AG34" s="13">
        <v>194.16666666666666</v>
      </c>
      <c r="AH34" s="7">
        <f t="shared" si="11"/>
        <v>0.79506933744221864</v>
      </c>
      <c r="AI34" s="13">
        <v>219</v>
      </c>
      <c r="AJ34" s="7">
        <f t="shared" si="11"/>
        <v>0.12789699570815458</v>
      </c>
      <c r="AK34" s="13">
        <v>119.5</v>
      </c>
      <c r="AL34" s="7">
        <f t="shared" si="11"/>
        <v>-0.45433789954337894</v>
      </c>
      <c r="AM34" s="13">
        <v>82.571428571428569</v>
      </c>
      <c r="AN34" s="7">
        <f t="shared" si="11"/>
        <v>-0.30902570233114163</v>
      </c>
      <c r="AO34" s="13">
        <v>128</v>
      </c>
      <c r="AP34" s="7">
        <f t="shared" ref="AP34:AP48" si="21">(AO34/AM34*100-100)/100</f>
        <v>0.55017301038062272</v>
      </c>
      <c r="AQ34" s="13">
        <v>206.21212121212116</v>
      </c>
      <c r="AR34" s="7">
        <f t="shared" si="12"/>
        <v>0.61103219696969657</v>
      </c>
      <c r="AS34" s="13">
        <v>310</v>
      </c>
      <c r="AT34" s="7">
        <f t="shared" si="12"/>
        <v>0.50330639235856045</v>
      </c>
      <c r="AU34" s="13">
        <v>935</v>
      </c>
      <c r="AV34" s="7">
        <f t="shared" si="12"/>
        <v>2.0161290322580645</v>
      </c>
      <c r="AW34" s="13">
        <v>1422.8571428571427</v>
      </c>
      <c r="AX34" s="7">
        <f t="shared" si="12"/>
        <v>0.52177234530175698</v>
      </c>
      <c r="AY34" s="13">
        <v>589.09090909090912</v>
      </c>
      <c r="AZ34" s="7">
        <f t="shared" si="13"/>
        <v>-0.58598028477546538</v>
      </c>
      <c r="BA34" s="13">
        <v>204.8</v>
      </c>
      <c r="BB34" s="7">
        <f t="shared" si="13"/>
        <v>-0.65234567901234575</v>
      </c>
      <c r="BC34" s="13">
        <v>165.71428571428575</v>
      </c>
      <c r="BD34" s="7">
        <f t="shared" si="14"/>
        <v>-0.19084821428571416</v>
      </c>
      <c r="BE34" s="13">
        <v>80.285714285714306</v>
      </c>
      <c r="BF34" s="7">
        <f t="shared" si="15"/>
        <v>-0.51551724137931032</v>
      </c>
      <c r="BG34" s="13">
        <v>81.200000000000017</v>
      </c>
      <c r="BH34" s="7">
        <f t="shared" si="16"/>
        <v>1.138790035587192E-2</v>
      </c>
      <c r="BI34" s="13">
        <v>88.75</v>
      </c>
      <c r="BJ34" s="7">
        <f t="shared" si="17"/>
        <v>9.2980295566502211E-2</v>
      </c>
      <c r="BK34" s="13">
        <v>86.200000000000031</v>
      </c>
      <c r="BL34" s="7">
        <f t="shared" si="18"/>
        <v>-2.8732394366196842E-2</v>
      </c>
      <c r="BM34" s="13">
        <v>126.5</v>
      </c>
      <c r="BN34" s="7">
        <f t="shared" si="18"/>
        <v>0.46751740139211079</v>
      </c>
      <c r="BO34" s="13">
        <v>102</v>
      </c>
      <c r="BP34" s="7">
        <f t="shared" si="18"/>
        <v>-0.19367588932806329</v>
      </c>
      <c r="BQ34" s="13">
        <v>91.6</v>
      </c>
      <c r="BR34" s="7">
        <f t="shared" si="18"/>
        <v>-0.10196078431372556</v>
      </c>
      <c r="BS34" s="13">
        <v>82.538461538461533</v>
      </c>
      <c r="BT34" s="7">
        <f t="shared" si="18"/>
        <v>-9.8925092374874027E-2</v>
      </c>
      <c r="BU34" s="13">
        <v>79.384615384615387</v>
      </c>
      <c r="BV34" s="7">
        <f t="shared" ref="BV34:BX48" si="22">(BU34/BS34*100-100)/100</f>
        <v>-3.8210624417520905E-2</v>
      </c>
      <c r="BW34" s="17">
        <v>78.15384615384616</v>
      </c>
      <c r="BX34" s="7">
        <f t="shared" si="22"/>
        <v>-1.5503875968992133E-2</v>
      </c>
      <c r="BY34" s="8">
        <f t="shared" si="20"/>
        <v>0.8574040219378426</v>
      </c>
    </row>
    <row r="35" spans="1:77" x14ac:dyDescent="0.25">
      <c r="A35" s="5" t="s">
        <v>168</v>
      </c>
      <c r="B35" s="5" t="s">
        <v>67</v>
      </c>
      <c r="C35" s="5" t="s">
        <v>68</v>
      </c>
      <c r="D35" s="9" t="s">
        <v>90</v>
      </c>
      <c r="E35" s="9" t="s">
        <v>116</v>
      </c>
      <c r="F35" s="10">
        <v>3.6764705882352939</v>
      </c>
      <c r="G35" s="6">
        <v>3.6764705882352939</v>
      </c>
      <c r="H35" s="7">
        <f t="shared" si="0"/>
        <v>0</v>
      </c>
      <c r="I35" s="6">
        <v>5</v>
      </c>
      <c r="J35" s="7">
        <f t="shared" si="1"/>
        <v>0.36</v>
      </c>
      <c r="K35" s="6">
        <v>7.125</v>
      </c>
      <c r="L35" s="7">
        <f t="shared" si="1"/>
        <v>0.42499999999999999</v>
      </c>
      <c r="M35" s="11">
        <v>5.5</v>
      </c>
      <c r="N35" s="7">
        <f t="shared" si="2"/>
        <v>-0.22807017543859659</v>
      </c>
      <c r="O35" s="11">
        <v>5.75</v>
      </c>
      <c r="P35" s="7">
        <f t="shared" si="3"/>
        <v>4.545454545454547E-2</v>
      </c>
      <c r="Q35" s="11">
        <v>4.75</v>
      </c>
      <c r="R35" s="7">
        <f t="shared" si="4"/>
        <v>-0.17391304347826092</v>
      </c>
      <c r="S35" s="12">
        <v>3</v>
      </c>
      <c r="T35" s="7">
        <f t="shared" si="5"/>
        <v>-0.36842105263157898</v>
      </c>
      <c r="U35" s="11">
        <v>2.850000000000001</v>
      </c>
      <c r="V35" s="7">
        <f t="shared" si="6"/>
        <v>-4.9999999999999718E-2</v>
      </c>
      <c r="W35" s="11">
        <v>2.850000000000001</v>
      </c>
      <c r="X35" s="7">
        <f t="shared" si="7"/>
        <v>0</v>
      </c>
      <c r="Y35" s="13">
        <v>1.4250000000000005</v>
      </c>
      <c r="Z35" s="7">
        <f t="shared" si="8"/>
        <v>-0.5</v>
      </c>
      <c r="AA35" s="13">
        <v>1.4250000000000005</v>
      </c>
      <c r="AB35" s="7">
        <f t="shared" si="9"/>
        <v>0</v>
      </c>
      <c r="AC35" s="13">
        <v>1.4250000000000005</v>
      </c>
      <c r="AD35" s="7">
        <f t="shared" si="10"/>
        <v>0</v>
      </c>
      <c r="AE35" s="13">
        <v>1.6031249999999995</v>
      </c>
      <c r="AF35" s="7">
        <f t="shared" si="11"/>
        <v>0.12499999999999929</v>
      </c>
      <c r="AG35" s="13">
        <v>2.9925000000000002</v>
      </c>
      <c r="AH35" s="7">
        <f t="shared" si="11"/>
        <v>0.86666666666666747</v>
      </c>
      <c r="AI35" s="13">
        <v>3.2062499999999989</v>
      </c>
      <c r="AJ35" s="7">
        <f t="shared" si="11"/>
        <v>7.1428571428570967E-2</v>
      </c>
      <c r="AK35" s="13">
        <v>2.2800000000000007</v>
      </c>
      <c r="AL35" s="7">
        <f t="shared" si="11"/>
        <v>-0.28888888888888842</v>
      </c>
      <c r="AM35" s="13">
        <v>2.0484374999999995</v>
      </c>
      <c r="AN35" s="7">
        <f t="shared" si="11"/>
        <v>-0.10156250000000057</v>
      </c>
      <c r="AO35" s="13">
        <v>1.4250000000000005</v>
      </c>
      <c r="AP35" s="7">
        <f t="shared" si="21"/>
        <v>-0.30434782608695615</v>
      </c>
      <c r="AQ35" s="13">
        <v>2.4937499999999995</v>
      </c>
      <c r="AR35" s="7">
        <f t="shared" si="12"/>
        <v>0.74999999999999911</v>
      </c>
      <c r="AS35" s="13">
        <v>2.850000000000001</v>
      </c>
      <c r="AT35" s="7">
        <f t="shared" si="12"/>
        <v>0.14285714285714349</v>
      </c>
      <c r="AU35" s="13">
        <v>17.8125</v>
      </c>
      <c r="AV35" s="7">
        <f t="shared" si="12"/>
        <v>5.2499999999999973</v>
      </c>
      <c r="AW35" s="13">
        <v>20.305891238670693</v>
      </c>
      <c r="AX35" s="7">
        <f t="shared" si="12"/>
        <v>0.13997985901309165</v>
      </c>
      <c r="AY35" s="13">
        <v>15.665911379657606</v>
      </c>
      <c r="AZ35" s="7">
        <f t="shared" si="13"/>
        <v>-0.22850412249705512</v>
      </c>
      <c r="BA35" s="13">
        <v>9.5968655589123859</v>
      </c>
      <c r="BB35" s="7">
        <f t="shared" si="13"/>
        <v>-0.38740458015267187</v>
      </c>
      <c r="BC35" s="13">
        <v>6.3007458459214511</v>
      </c>
      <c r="BD35" s="7">
        <f t="shared" si="14"/>
        <v>-0.34345794392523343</v>
      </c>
      <c r="BE35" s="13">
        <v>3.2062499999999989</v>
      </c>
      <c r="BF35" s="7">
        <f t="shared" si="15"/>
        <v>-0.49113167259786505</v>
      </c>
      <c r="BG35" s="13">
        <v>2.850000000000001</v>
      </c>
      <c r="BH35" s="7">
        <f t="shared" si="16"/>
        <v>-0.11111111111111044</v>
      </c>
      <c r="BI35" s="13">
        <v>2.850000000000001</v>
      </c>
      <c r="BJ35" s="7">
        <f t="shared" si="17"/>
        <v>0</v>
      </c>
      <c r="BK35" s="13">
        <v>1.4250000000000005</v>
      </c>
      <c r="BL35" s="7">
        <f t="shared" si="18"/>
        <v>-0.5</v>
      </c>
      <c r="BM35" s="13">
        <v>1.9400000000000006</v>
      </c>
      <c r="BN35" s="7">
        <f t="shared" si="18"/>
        <v>0.36140350877192984</v>
      </c>
      <c r="BO35" s="13">
        <v>1.4250000000000005</v>
      </c>
      <c r="BP35" s="7">
        <f t="shared" si="18"/>
        <v>-0.26546391752577309</v>
      </c>
      <c r="BQ35" s="13">
        <v>1.4250000000000005</v>
      </c>
      <c r="BR35" s="7">
        <f t="shared" si="18"/>
        <v>0</v>
      </c>
      <c r="BS35" s="13">
        <v>4.4705882352941178</v>
      </c>
      <c r="BT35" s="7">
        <f t="shared" si="18"/>
        <v>2.1372549019607834</v>
      </c>
      <c r="BU35" s="13">
        <v>4.7647058823529411</v>
      </c>
      <c r="BV35" s="7">
        <f t="shared" si="22"/>
        <v>6.5789473684210412E-2</v>
      </c>
      <c r="BW35" s="17">
        <v>4.0352941176470587</v>
      </c>
      <c r="BX35" s="7">
        <f t="shared" si="22"/>
        <v>-0.15308641975308646</v>
      </c>
      <c r="BY35" s="8">
        <f t="shared" si="20"/>
        <v>9.7600000000000187E-2</v>
      </c>
    </row>
    <row r="36" spans="1:77" x14ac:dyDescent="0.25">
      <c r="A36" s="5" t="s">
        <v>169</v>
      </c>
      <c r="B36" s="5" t="s">
        <v>69</v>
      </c>
      <c r="C36" s="5" t="s">
        <v>70</v>
      </c>
      <c r="D36" s="9" t="s">
        <v>91</v>
      </c>
      <c r="E36" s="9" t="s">
        <v>117</v>
      </c>
      <c r="F36" s="10">
        <v>2.2441860465116279</v>
      </c>
      <c r="G36" s="6">
        <v>2.2558139534883721</v>
      </c>
      <c r="H36" s="7">
        <f t="shared" si="0"/>
        <v>5.1813471502590858E-3</v>
      </c>
      <c r="I36" s="6">
        <v>5</v>
      </c>
      <c r="J36" s="7">
        <f t="shared" si="1"/>
        <v>1.2164948453608249</v>
      </c>
      <c r="K36" s="6">
        <v>7</v>
      </c>
      <c r="L36" s="7">
        <f t="shared" si="1"/>
        <v>0.4</v>
      </c>
      <c r="M36" s="11">
        <v>3.625</v>
      </c>
      <c r="N36" s="7">
        <f t="shared" si="2"/>
        <v>-0.4821428571428571</v>
      </c>
      <c r="O36" s="11">
        <v>3.8333333333333344</v>
      </c>
      <c r="P36" s="7">
        <f t="shared" si="3"/>
        <v>5.7471264367816417E-2</v>
      </c>
      <c r="Q36" s="11">
        <v>4.75</v>
      </c>
      <c r="R36" s="7">
        <f t="shared" si="4"/>
        <v>0.23913043478260845</v>
      </c>
      <c r="S36" s="12">
        <v>3.25</v>
      </c>
      <c r="T36" s="7">
        <f t="shared" si="5"/>
        <v>-0.31578947368421056</v>
      </c>
      <c r="U36" s="11">
        <v>4.75</v>
      </c>
      <c r="V36" s="7">
        <f t="shared" si="6"/>
        <v>0.46153846153846134</v>
      </c>
      <c r="W36" s="11">
        <v>3.0875000000000026</v>
      </c>
      <c r="X36" s="7">
        <f t="shared" si="7"/>
        <v>-0.34999999999999942</v>
      </c>
      <c r="Y36" s="13">
        <v>2.2562499999999988</v>
      </c>
      <c r="Z36" s="7">
        <f t="shared" si="8"/>
        <v>-0.26923076923077033</v>
      </c>
      <c r="AA36" s="13">
        <v>2.1375000000000015</v>
      </c>
      <c r="AB36" s="7">
        <f t="shared" si="9"/>
        <v>-5.2631578947367218E-2</v>
      </c>
      <c r="AC36" s="13">
        <v>2.375</v>
      </c>
      <c r="AD36" s="7">
        <f t="shared" si="10"/>
        <v>0.11111111111111029</v>
      </c>
      <c r="AE36" s="13">
        <v>5.3113636363636374</v>
      </c>
      <c r="AF36" s="7">
        <f t="shared" si="11"/>
        <v>1.2363636363636368</v>
      </c>
      <c r="AG36" s="13">
        <v>7.9958333333333362</v>
      </c>
      <c r="AH36" s="7">
        <f t="shared" si="11"/>
        <v>0.50542005420054237</v>
      </c>
      <c r="AI36" s="13">
        <v>6.8335227272727312</v>
      </c>
      <c r="AJ36" s="7">
        <f t="shared" si="11"/>
        <v>-0.14536453645364517</v>
      </c>
      <c r="AK36" s="13">
        <v>5.0943750000000056</v>
      </c>
      <c r="AL36" s="7">
        <f t="shared" si="11"/>
        <v>-0.25450236966824602</v>
      </c>
      <c r="AM36" s="13">
        <v>1.0517857142857141</v>
      </c>
      <c r="AN36" s="7">
        <f t="shared" si="11"/>
        <v>-0.79353979353979387</v>
      </c>
      <c r="AO36" s="13">
        <v>1.3458333333333319</v>
      </c>
      <c r="AP36" s="7">
        <f t="shared" si="21"/>
        <v>0.27956989247311709</v>
      </c>
      <c r="AQ36" s="13">
        <v>5.1299999999999972</v>
      </c>
      <c r="AR36" s="7">
        <f t="shared" si="12"/>
        <v>2.8117647058823549</v>
      </c>
      <c r="AS36" s="13">
        <v>9.8562499999999922</v>
      </c>
      <c r="AT36" s="7">
        <f t="shared" si="12"/>
        <v>0.92129629629629595</v>
      </c>
      <c r="AU36" s="13">
        <v>15.7225</v>
      </c>
      <c r="AV36" s="7">
        <f t="shared" si="12"/>
        <v>0.59518072289156754</v>
      </c>
      <c r="AW36" s="13">
        <v>17.923333333333325</v>
      </c>
      <c r="AX36" s="7">
        <f t="shared" si="12"/>
        <v>0.13997985901309121</v>
      </c>
      <c r="AY36" s="13">
        <v>13.827777777777781</v>
      </c>
      <c r="AZ36" s="7">
        <f t="shared" si="13"/>
        <v>-0.22850412249705471</v>
      </c>
      <c r="BA36" s="13">
        <v>8.4708333333333403</v>
      </c>
      <c r="BB36" s="7">
        <f t="shared" si="13"/>
        <v>-0.38740458015267143</v>
      </c>
      <c r="BC36" s="13">
        <v>5.5614583333333405</v>
      </c>
      <c r="BD36" s="7">
        <f t="shared" si="14"/>
        <v>-0.34345794392523332</v>
      </c>
      <c r="BE36" s="13">
        <v>2.6718750000000004</v>
      </c>
      <c r="BF36" s="7">
        <f t="shared" si="15"/>
        <v>-0.51957295373665535</v>
      </c>
      <c r="BG36" s="13">
        <v>2.6556818181818183</v>
      </c>
      <c r="BH36" s="7">
        <f t="shared" si="16"/>
        <v>-6.0606060606062332E-3</v>
      </c>
      <c r="BI36" s="13">
        <v>2.4535714285714265</v>
      </c>
      <c r="BJ36" s="7">
        <f t="shared" si="17"/>
        <v>-7.6104896387310536E-2</v>
      </c>
      <c r="BK36" s="13">
        <v>2.2087499999999984</v>
      </c>
      <c r="BL36" s="7">
        <f t="shared" si="18"/>
        <v>-9.9781659388646207E-2</v>
      </c>
      <c r="BM36" s="13">
        <v>2.6819444444444431</v>
      </c>
      <c r="BN36" s="7">
        <f t="shared" si="18"/>
        <v>0.21423630761491566</v>
      </c>
      <c r="BO36" s="13">
        <v>3</v>
      </c>
      <c r="BP36" s="7">
        <f t="shared" si="18"/>
        <v>0.11859140341791871</v>
      </c>
      <c r="BQ36" s="13">
        <v>2.9000000000000021</v>
      </c>
      <c r="BR36" s="7">
        <f t="shared" si="18"/>
        <v>-3.3333333333332715E-2</v>
      </c>
      <c r="BS36" s="13">
        <v>3.13953488372093</v>
      </c>
      <c r="BT36" s="7">
        <f t="shared" si="18"/>
        <v>8.2598235765837275E-2</v>
      </c>
      <c r="BU36" s="13">
        <v>3.1627906976744184</v>
      </c>
      <c r="BV36" s="7">
        <f t="shared" si="22"/>
        <v>7.4074074074074762E-3</v>
      </c>
      <c r="BW36" s="17">
        <v>3.1046511627906979</v>
      </c>
      <c r="BX36" s="7">
        <f t="shared" si="22"/>
        <v>-1.8382352941176378E-2</v>
      </c>
      <c r="BY36" s="8">
        <f t="shared" si="20"/>
        <v>0.3834196891191709</v>
      </c>
    </row>
    <row r="37" spans="1:77" x14ac:dyDescent="0.25">
      <c r="A37" s="5" t="s">
        <v>170</v>
      </c>
      <c r="B37" s="5" t="s">
        <v>71</v>
      </c>
      <c r="C37" s="5" t="s">
        <v>17</v>
      </c>
      <c r="D37" s="9" t="s">
        <v>92</v>
      </c>
      <c r="E37" s="9" t="s">
        <v>104</v>
      </c>
      <c r="F37" s="10">
        <v>4.8499999999999996</v>
      </c>
      <c r="G37" s="6">
        <v>4.7</v>
      </c>
      <c r="H37" s="7">
        <f t="shared" si="0"/>
        <v>-3.0927835051546282E-2</v>
      </c>
      <c r="I37" s="6">
        <v>9</v>
      </c>
      <c r="J37" s="7">
        <f t="shared" si="1"/>
        <v>0.91489361702127636</v>
      </c>
      <c r="K37" s="6">
        <v>20</v>
      </c>
      <c r="L37" s="7">
        <f t="shared" si="1"/>
        <v>1.2222222222222223</v>
      </c>
      <c r="M37" s="11">
        <v>17</v>
      </c>
      <c r="N37" s="7">
        <f t="shared" si="2"/>
        <v>-0.15</v>
      </c>
      <c r="O37" s="11">
        <v>15.333333333333334</v>
      </c>
      <c r="P37" s="7">
        <f t="shared" si="3"/>
        <v>-9.8039215686274439E-2</v>
      </c>
      <c r="Q37" s="11">
        <v>14.5</v>
      </c>
      <c r="R37" s="7">
        <f t="shared" si="4"/>
        <v>-5.4347826086956562E-2</v>
      </c>
      <c r="S37" s="12">
        <v>13</v>
      </c>
      <c r="T37" s="7">
        <f t="shared" si="5"/>
        <v>-0.10344827586206889</v>
      </c>
      <c r="U37" s="11">
        <v>10</v>
      </c>
      <c r="V37" s="7">
        <f t="shared" si="6"/>
        <v>-0.23076923076923067</v>
      </c>
      <c r="W37" s="11">
        <v>6.25</v>
      </c>
      <c r="X37" s="7">
        <f t="shared" si="7"/>
        <v>-0.375</v>
      </c>
      <c r="Y37" s="13">
        <v>5</v>
      </c>
      <c r="Z37" s="7">
        <f t="shared" si="8"/>
        <v>-0.2</v>
      </c>
      <c r="AA37" s="13">
        <v>5</v>
      </c>
      <c r="AB37" s="7">
        <f t="shared" si="9"/>
        <v>0</v>
      </c>
      <c r="AC37" s="13">
        <v>5</v>
      </c>
      <c r="AD37" s="7">
        <f t="shared" si="10"/>
        <v>0</v>
      </c>
      <c r="AE37" s="13">
        <v>7.59375</v>
      </c>
      <c r="AF37" s="7">
        <f t="shared" si="11"/>
        <v>0.51875000000000004</v>
      </c>
      <c r="AG37" s="13">
        <v>11.112500000000004</v>
      </c>
      <c r="AH37" s="7">
        <f t="shared" si="11"/>
        <v>0.46337448559670835</v>
      </c>
      <c r="AI37" s="13">
        <v>13.134615384615383</v>
      </c>
      <c r="AJ37" s="7">
        <f t="shared" si="11"/>
        <v>0.18196763866055149</v>
      </c>
      <c r="AK37" s="13">
        <v>10.035714285714281</v>
      </c>
      <c r="AL37" s="7">
        <f t="shared" si="11"/>
        <v>-0.23593390504078671</v>
      </c>
      <c r="AM37" s="13">
        <v>3.6428571428571437</v>
      </c>
      <c r="AN37" s="7">
        <f t="shared" si="11"/>
        <v>-0.63701067615658336</v>
      </c>
      <c r="AO37" s="13">
        <v>2.25</v>
      </c>
      <c r="AP37" s="7">
        <f t="shared" si="21"/>
        <v>-0.38235294117647067</v>
      </c>
      <c r="AQ37" s="13">
        <v>5.9000000000000021</v>
      </c>
      <c r="AR37" s="7">
        <f t="shared" si="12"/>
        <v>1.6222222222222229</v>
      </c>
      <c r="AS37" s="13">
        <v>18.333333333333332</v>
      </c>
      <c r="AT37" s="7">
        <f t="shared" si="12"/>
        <v>2.1073446327683603</v>
      </c>
      <c r="AU37" s="13">
        <v>33.333333333333336</v>
      </c>
      <c r="AV37" s="7">
        <f t="shared" si="12"/>
        <v>0.81818181818181845</v>
      </c>
      <c r="AW37" s="13">
        <v>25.857142857142843</v>
      </c>
      <c r="AX37" s="7">
        <f t="shared" si="12"/>
        <v>-0.22428571428571473</v>
      </c>
      <c r="AY37" s="13">
        <v>15.428571428571427</v>
      </c>
      <c r="AZ37" s="7">
        <f t="shared" si="13"/>
        <v>-0.40331491712707157</v>
      </c>
      <c r="BA37" s="13">
        <v>5.0909090909090917</v>
      </c>
      <c r="BB37" s="7">
        <f t="shared" si="13"/>
        <v>-0.67003367003366987</v>
      </c>
      <c r="BC37" s="13">
        <v>6.7272727272727311</v>
      </c>
      <c r="BD37" s="7">
        <f t="shared" si="14"/>
        <v>0.32142857142857195</v>
      </c>
      <c r="BE37" s="13">
        <v>2.75</v>
      </c>
      <c r="BF37" s="7">
        <f t="shared" si="15"/>
        <v>-0.59121621621621645</v>
      </c>
      <c r="BG37" s="13">
        <v>2.1000000000000005</v>
      </c>
      <c r="BH37" s="7">
        <f t="shared" si="16"/>
        <v>-0.23636363636363625</v>
      </c>
      <c r="BI37" s="13">
        <v>1.6000000000000003</v>
      </c>
      <c r="BJ37" s="7">
        <f t="shared" si="17"/>
        <v>-0.23809523809523811</v>
      </c>
      <c r="BK37" s="13">
        <v>1.1428571428571426</v>
      </c>
      <c r="BL37" s="7">
        <f t="shared" si="18"/>
        <v>-0.28571428571428598</v>
      </c>
      <c r="BM37" s="13">
        <v>1.1999999999999997</v>
      </c>
      <c r="BN37" s="7">
        <f t="shared" si="18"/>
        <v>0.05</v>
      </c>
      <c r="BO37" s="13">
        <v>1</v>
      </c>
      <c r="BP37" s="7">
        <f t="shared" si="18"/>
        <v>-0.16666666666666657</v>
      </c>
      <c r="BQ37" s="13">
        <v>1.3333333333333328</v>
      </c>
      <c r="BR37" s="7">
        <f t="shared" si="18"/>
        <v>0.33333333333333287</v>
      </c>
      <c r="BS37" s="13">
        <v>2.65</v>
      </c>
      <c r="BT37" s="7">
        <f t="shared" si="18"/>
        <v>0.9875000000000006</v>
      </c>
      <c r="BU37" s="13">
        <v>2.7749999999999999</v>
      </c>
      <c r="BV37" s="7">
        <f t="shared" si="22"/>
        <v>4.7169811320754887E-2</v>
      </c>
      <c r="BW37" s="17">
        <v>2.6</v>
      </c>
      <c r="BX37" s="7">
        <f t="shared" si="22"/>
        <v>-6.3063063063062974E-2</v>
      </c>
      <c r="BY37" s="8">
        <f t="shared" si="20"/>
        <v>-0.46391752577319578</v>
      </c>
    </row>
    <row r="38" spans="1:77" x14ac:dyDescent="0.25">
      <c r="A38" s="5" t="s">
        <v>171</v>
      </c>
      <c r="B38" s="5" t="s">
        <v>72</v>
      </c>
      <c r="C38" s="5" t="s">
        <v>73</v>
      </c>
      <c r="D38" s="9" t="s">
        <v>93</v>
      </c>
      <c r="E38" s="9" t="s">
        <v>118</v>
      </c>
      <c r="F38" s="10">
        <v>5</v>
      </c>
      <c r="G38" s="6">
        <v>5</v>
      </c>
      <c r="H38" s="7">
        <f t="shared" si="0"/>
        <v>0</v>
      </c>
      <c r="I38" s="6">
        <v>6</v>
      </c>
      <c r="J38" s="7">
        <f t="shared" si="1"/>
        <v>0.2</v>
      </c>
      <c r="K38" s="6">
        <v>6</v>
      </c>
      <c r="L38" s="7">
        <f t="shared" si="1"/>
        <v>0</v>
      </c>
      <c r="M38" s="11">
        <v>19.600000000000005</v>
      </c>
      <c r="N38" s="7">
        <f t="shared" si="2"/>
        <v>2.2666666666666675</v>
      </c>
      <c r="O38" s="11">
        <v>19.600000000000005</v>
      </c>
      <c r="P38" s="7">
        <f t="shared" si="3"/>
        <v>0</v>
      </c>
      <c r="Q38" s="11">
        <v>16.449999999999996</v>
      </c>
      <c r="R38" s="7">
        <f t="shared" si="4"/>
        <v>-0.16071428571428611</v>
      </c>
      <c r="S38" s="12">
        <v>8.4000000000000021</v>
      </c>
      <c r="T38" s="7">
        <f t="shared" si="5"/>
        <v>-0.48936170212765928</v>
      </c>
      <c r="U38" s="11">
        <v>7</v>
      </c>
      <c r="V38" s="7">
        <f t="shared" si="6"/>
        <v>-0.16666666666666685</v>
      </c>
      <c r="W38" s="11">
        <v>7</v>
      </c>
      <c r="X38" s="7">
        <f t="shared" si="7"/>
        <v>0</v>
      </c>
      <c r="Y38" s="13">
        <v>7</v>
      </c>
      <c r="Z38" s="7">
        <f t="shared" si="8"/>
        <v>0</v>
      </c>
      <c r="AA38" s="13">
        <v>7</v>
      </c>
      <c r="AB38" s="7">
        <f t="shared" si="9"/>
        <v>0</v>
      </c>
      <c r="AC38" s="13">
        <v>7</v>
      </c>
      <c r="AD38" s="7">
        <f t="shared" si="10"/>
        <v>0</v>
      </c>
      <c r="AE38" s="13">
        <v>9.5666666666666647</v>
      </c>
      <c r="AF38" s="7">
        <f t="shared" si="11"/>
        <v>0.36666666666666659</v>
      </c>
      <c r="AG38" s="13">
        <v>23.625</v>
      </c>
      <c r="AH38" s="7">
        <f t="shared" si="11"/>
        <v>1.4695121951219519</v>
      </c>
      <c r="AI38" s="13">
        <v>20.063875598086117</v>
      </c>
      <c r="AJ38" s="7">
        <f t="shared" si="11"/>
        <v>-0.15073542441963525</v>
      </c>
      <c r="AK38" s="13">
        <v>9.870000000000001</v>
      </c>
      <c r="AL38" s="7">
        <f t="shared" si="11"/>
        <v>-0.50807111259494175</v>
      </c>
      <c r="AM38" s="13">
        <v>4.4000000000000004</v>
      </c>
      <c r="AN38" s="7">
        <f t="shared" si="11"/>
        <v>-0.5542046605876394</v>
      </c>
      <c r="AO38" s="13">
        <v>5.5999999999999979</v>
      </c>
      <c r="AP38" s="7">
        <f t="shared" si="21"/>
        <v>0.2727272727272721</v>
      </c>
      <c r="AQ38" s="13">
        <v>9.2750000000000021</v>
      </c>
      <c r="AR38" s="7">
        <f t="shared" si="12"/>
        <v>0.65625000000000111</v>
      </c>
      <c r="AS38" s="13">
        <v>19.600000000000005</v>
      </c>
      <c r="AT38" s="7">
        <f t="shared" si="12"/>
        <v>1.1132075471698113</v>
      </c>
      <c r="AU38" s="13">
        <v>67.666666666666671</v>
      </c>
      <c r="AV38" s="7">
        <f t="shared" si="12"/>
        <v>2.4523809523809517</v>
      </c>
      <c r="AW38" s="13">
        <v>68.75</v>
      </c>
      <c r="AX38" s="7">
        <f t="shared" si="12"/>
        <v>1.6009852216748614E-2</v>
      </c>
      <c r="AY38" s="13">
        <v>32.511111111111106</v>
      </c>
      <c r="AZ38" s="7">
        <f t="shared" si="13"/>
        <v>-0.5271111111111112</v>
      </c>
      <c r="BA38" s="13">
        <v>10.192643678160918</v>
      </c>
      <c r="BB38" s="7">
        <f t="shared" si="13"/>
        <v>-0.68648737832040918</v>
      </c>
      <c r="BC38" s="13">
        <v>8.2169961175586543</v>
      </c>
      <c r="BD38" s="7">
        <f t="shared" si="14"/>
        <v>-0.19383072959131781</v>
      </c>
      <c r="BE38" s="13">
        <v>5.3980036297640632</v>
      </c>
      <c r="BF38" s="7">
        <f t="shared" si="15"/>
        <v>-0.34306849455250071</v>
      </c>
      <c r="BG38" s="13">
        <v>5.1220689655172427</v>
      </c>
      <c r="BH38" s="7">
        <f t="shared" si="16"/>
        <v>-5.1117910096492664E-2</v>
      </c>
      <c r="BI38" s="13">
        <v>5.1413793103448295</v>
      </c>
      <c r="BJ38" s="7">
        <f t="shared" si="17"/>
        <v>3.7700282752122405E-3</v>
      </c>
      <c r="BK38" s="13">
        <v>4.9655172413793123</v>
      </c>
      <c r="BL38" s="7">
        <f t="shared" si="18"/>
        <v>-3.4205231388330051E-2</v>
      </c>
      <c r="BM38" s="13">
        <v>4.8275862068965534</v>
      </c>
      <c r="BN38" s="7">
        <f t="shared" si="18"/>
        <v>-2.7777777777777856E-2</v>
      </c>
      <c r="BO38" s="13">
        <v>4.8275862068965534</v>
      </c>
      <c r="BP38" s="7">
        <f t="shared" si="18"/>
        <v>0</v>
      </c>
      <c r="BQ38" s="13">
        <v>4.8275862068965534</v>
      </c>
      <c r="BR38" s="7">
        <f t="shared" si="18"/>
        <v>0</v>
      </c>
      <c r="BS38" s="13">
        <v>6.166666666666667</v>
      </c>
      <c r="BT38" s="7">
        <f t="shared" si="18"/>
        <v>0.27738095238095212</v>
      </c>
      <c r="BU38" s="13">
        <v>6.4444444444444446</v>
      </c>
      <c r="BV38" s="7">
        <f t="shared" si="22"/>
        <v>4.504504504504496E-2</v>
      </c>
      <c r="BW38" s="17">
        <v>6.6643518518518512</v>
      </c>
      <c r="BX38" s="7">
        <f t="shared" si="22"/>
        <v>3.4123563218390697E-2</v>
      </c>
      <c r="BY38" s="8">
        <f t="shared" si="20"/>
        <v>0.33287037037037009</v>
      </c>
    </row>
    <row r="39" spans="1:77" x14ac:dyDescent="0.25">
      <c r="A39" s="5" t="s">
        <v>172</v>
      </c>
      <c r="B39" s="5" t="s">
        <v>74</v>
      </c>
      <c r="C39" s="5" t="s">
        <v>75</v>
      </c>
      <c r="D39" s="9" t="s">
        <v>94</v>
      </c>
      <c r="E39" s="9" t="s">
        <v>119</v>
      </c>
      <c r="F39" s="10">
        <v>24.724137931034484</v>
      </c>
      <c r="G39" s="6">
        <v>24.793103448275861</v>
      </c>
      <c r="H39" s="7">
        <f t="shared" si="0"/>
        <v>2.7894002789399506E-3</v>
      </c>
      <c r="I39" s="6">
        <v>55</v>
      </c>
      <c r="J39" s="7">
        <f t="shared" si="1"/>
        <v>1.2183588317107095</v>
      </c>
      <c r="K39" s="6">
        <v>53.333333333333321</v>
      </c>
      <c r="L39" s="7">
        <f t="shared" si="1"/>
        <v>-3.0303030303030453E-2</v>
      </c>
      <c r="M39" s="11">
        <v>65.5</v>
      </c>
      <c r="N39" s="7">
        <f t="shared" si="2"/>
        <v>0.22812500000000027</v>
      </c>
      <c r="O39" s="11">
        <v>246.96721311475423</v>
      </c>
      <c r="P39" s="7">
        <f t="shared" si="3"/>
        <v>2.7704918032786905</v>
      </c>
      <c r="Q39" s="11">
        <v>477.64820253001187</v>
      </c>
      <c r="R39" s="7">
        <f t="shared" si="4"/>
        <v>0.93405511811023612</v>
      </c>
      <c r="S39" s="12">
        <v>440.90603310462586</v>
      </c>
      <c r="T39" s="7">
        <f t="shared" si="5"/>
        <v>-7.6923076923077927E-2</v>
      </c>
      <c r="U39" s="11">
        <v>440.90603310462586</v>
      </c>
      <c r="V39" s="7">
        <f t="shared" si="6"/>
        <v>0</v>
      </c>
      <c r="W39" s="11">
        <v>440.90603310462586</v>
      </c>
      <c r="X39" s="7">
        <f t="shared" si="7"/>
        <v>0</v>
      </c>
      <c r="Y39" s="13">
        <v>440.90603310462586</v>
      </c>
      <c r="Z39" s="7">
        <f t="shared" si="8"/>
        <v>0</v>
      </c>
      <c r="AA39" s="13">
        <v>440.90603310462586</v>
      </c>
      <c r="AB39" s="7">
        <f t="shared" si="9"/>
        <v>0</v>
      </c>
      <c r="AC39" s="13">
        <v>440.90603310462586</v>
      </c>
      <c r="AD39" s="7">
        <f t="shared" si="10"/>
        <v>0</v>
      </c>
      <c r="AE39" s="13">
        <v>440.90603310462586</v>
      </c>
      <c r="AF39" s="7">
        <f t="shared" si="11"/>
        <v>0</v>
      </c>
      <c r="AG39" s="13">
        <v>833.33333333333314</v>
      </c>
      <c r="AH39" s="7">
        <f t="shared" si="11"/>
        <v>0.89004747216871327</v>
      </c>
      <c r="AI39" s="13">
        <v>1933.3333333333339</v>
      </c>
      <c r="AJ39" s="7">
        <f t="shared" si="11"/>
        <v>1.3200000000000012</v>
      </c>
      <c r="AK39" s="13">
        <v>525.10288065843622</v>
      </c>
      <c r="AL39" s="7">
        <f t="shared" si="11"/>
        <v>-0.72839506172839519</v>
      </c>
      <c r="AM39" s="13">
        <v>168.75</v>
      </c>
      <c r="AN39" s="7">
        <f t="shared" si="11"/>
        <v>-0.67863440438871481</v>
      </c>
      <c r="AO39" s="13">
        <v>435</v>
      </c>
      <c r="AP39" s="7">
        <f t="shared" si="21"/>
        <v>1.5777777777777777</v>
      </c>
      <c r="AQ39" s="13">
        <v>1085.0779510022267</v>
      </c>
      <c r="AR39" s="7">
        <f t="shared" si="12"/>
        <v>1.4944320712694867</v>
      </c>
      <c r="AS39" s="13">
        <v>1600</v>
      </c>
      <c r="AT39" s="7">
        <f t="shared" si="12"/>
        <v>0.47454844006568209</v>
      </c>
      <c r="AU39" s="13">
        <v>505.26315789473676</v>
      </c>
      <c r="AV39" s="7">
        <f t="shared" si="12"/>
        <v>-0.6842105263157896</v>
      </c>
      <c r="AW39" s="13">
        <v>1200</v>
      </c>
      <c r="AX39" s="7">
        <f t="shared" si="12"/>
        <v>1.3750000000000007</v>
      </c>
      <c r="AY39" s="13">
        <v>584</v>
      </c>
      <c r="AZ39" s="7">
        <f t="shared" si="13"/>
        <v>-0.51333333333333331</v>
      </c>
      <c r="BA39" s="13">
        <v>155</v>
      </c>
      <c r="BB39" s="7">
        <f t="shared" si="13"/>
        <v>-0.7345890410958904</v>
      </c>
      <c r="BC39" s="13">
        <v>63.636363636363676</v>
      </c>
      <c r="BD39" s="7">
        <f t="shared" si="14"/>
        <v>-0.58944281524926656</v>
      </c>
      <c r="BE39" s="13">
        <v>88.333333333333343</v>
      </c>
      <c r="BF39" s="7">
        <f t="shared" si="15"/>
        <v>0.38809523809523738</v>
      </c>
      <c r="BG39" s="13">
        <v>105</v>
      </c>
      <c r="BH39" s="7">
        <f t="shared" si="16"/>
        <v>0.18867924528301885</v>
      </c>
      <c r="BI39" s="13">
        <v>151.11111111111123</v>
      </c>
      <c r="BJ39" s="7">
        <f t="shared" si="17"/>
        <v>0.43915343915344013</v>
      </c>
      <c r="BK39" s="13">
        <v>611</v>
      </c>
      <c r="BL39" s="7">
        <f t="shared" si="18"/>
        <v>3.0433823529411734</v>
      </c>
      <c r="BM39" s="13">
        <v>600</v>
      </c>
      <c r="BN39" s="7">
        <f t="shared" si="18"/>
        <v>-1.800327332242219E-2</v>
      </c>
      <c r="BO39" s="13">
        <v>588.88888888888891</v>
      </c>
      <c r="BP39" s="7">
        <f t="shared" si="18"/>
        <v>-1.8518518518518476E-2</v>
      </c>
      <c r="BQ39" s="13">
        <v>571.4285714285711</v>
      </c>
      <c r="BR39" s="7">
        <f t="shared" si="18"/>
        <v>-2.9649595687332209E-2</v>
      </c>
      <c r="BS39" s="13">
        <v>508.62068965517244</v>
      </c>
      <c r="BT39" s="7">
        <f t="shared" si="18"/>
        <v>-0.10991379310344769</v>
      </c>
      <c r="BU39" s="13">
        <v>453.62068965517244</v>
      </c>
      <c r="BV39" s="7">
        <f t="shared" si="22"/>
        <v>-0.10813559322033896</v>
      </c>
      <c r="BW39" s="17">
        <v>429.05517241379312</v>
      </c>
      <c r="BX39" s="7">
        <f t="shared" si="22"/>
        <v>-5.415431394906875E-2</v>
      </c>
      <c r="BY39" s="8">
        <f t="shared" si="20"/>
        <v>16.353695955369595</v>
      </c>
    </row>
    <row r="40" spans="1:77" x14ac:dyDescent="0.25">
      <c r="A40" s="5" t="s">
        <v>173</v>
      </c>
      <c r="B40" s="5" t="s">
        <v>76</v>
      </c>
      <c r="C40" s="5" t="s">
        <v>75</v>
      </c>
      <c r="D40" s="9" t="s">
        <v>95</v>
      </c>
      <c r="E40" s="9" t="s">
        <v>119</v>
      </c>
      <c r="F40" s="10">
        <v>21.689655172413794</v>
      </c>
      <c r="G40" s="6">
        <v>21.758620689655171</v>
      </c>
      <c r="H40" s="7">
        <f t="shared" si="0"/>
        <v>3.1796502384737833E-3</v>
      </c>
      <c r="I40" s="6">
        <v>45</v>
      </c>
      <c r="J40" s="7">
        <f t="shared" si="1"/>
        <v>1.0681458003169575</v>
      </c>
      <c r="K40" s="6">
        <v>41.666666666666664</v>
      </c>
      <c r="L40" s="7">
        <f t="shared" si="1"/>
        <v>-7.4074074074074195E-2</v>
      </c>
      <c r="M40" s="11">
        <v>48.5</v>
      </c>
      <c r="N40" s="7">
        <f t="shared" si="2"/>
        <v>0.1640000000000002</v>
      </c>
      <c r="O40" s="11">
        <v>182.86885245901641</v>
      </c>
      <c r="P40" s="7">
        <f t="shared" si="3"/>
        <v>2.7704918032786892</v>
      </c>
      <c r="Q40" s="11">
        <v>465.1229508196721</v>
      </c>
      <c r="R40" s="7">
        <f t="shared" si="4"/>
        <v>1.543478260869565</v>
      </c>
      <c r="S40" s="12">
        <v>429.34426229508193</v>
      </c>
      <c r="T40" s="7">
        <f t="shared" si="5"/>
        <v>-7.6923076923076927E-2</v>
      </c>
      <c r="U40" s="11">
        <v>429.34426229508193</v>
      </c>
      <c r="V40" s="7">
        <f t="shared" si="6"/>
        <v>0</v>
      </c>
      <c r="W40" s="11">
        <v>429.34426229508193</v>
      </c>
      <c r="X40" s="7">
        <f t="shared" si="7"/>
        <v>0</v>
      </c>
      <c r="Y40" s="13">
        <v>429.34426229508193</v>
      </c>
      <c r="Z40" s="7">
        <f t="shared" si="8"/>
        <v>0</v>
      </c>
      <c r="AA40" s="13">
        <v>429.34426229508193</v>
      </c>
      <c r="AB40" s="7">
        <f t="shared" si="9"/>
        <v>0</v>
      </c>
      <c r="AC40" s="13">
        <v>429.34426229508193</v>
      </c>
      <c r="AD40" s="7">
        <f t="shared" si="10"/>
        <v>0</v>
      </c>
      <c r="AE40" s="13">
        <v>429.34426229508193</v>
      </c>
      <c r="AF40" s="7">
        <f t="shared" si="11"/>
        <v>0</v>
      </c>
      <c r="AG40" s="13">
        <v>900</v>
      </c>
      <c r="AH40" s="7">
        <f t="shared" si="11"/>
        <v>1.096219931271478</v>
      </c>
      <c r="AI40" s="13">
        <v>1350</v>
      </c>
      <c r="AJ40" s="7">
        <f t="shared" si="11"/>
        <v>0.5</v>
      </c>
      <c r="AK40" s="13">
        <v>366.66666666666663</v>
      </c>
      <c r="AL40" s="7">
        <f t="shared" si="11"/>
        <v>-0.72839506172839508</v>
      </c>
      <c r="AM40" s="13">
        <v>171.42857142857153</v>
      </c>
      <c r="AN40" s="7">
        <f t="shared" si="11"/>
        <v>-0.5324675324675322</v>
      </c>
      <c r="AO40" s="13">
        <v>165</v>
      </c>
      <c r="AP40" s="7">
        <f t="shared" si="21"/>
        <v>-3.7500000000000568E-2</v>
      </c>
      <c r="AQ40" s="13">
        <v>411.58129175946539</v>
      </c>
      <c r="AR40" s="7">
        <f t="shared" si="12"/>
        <v>1.4944320712694874</v>
      </c>
      <c r="AS40" s="13">
        <v>606.89655172413779</v>
      </c>
      <c r="AT40" s="7">
        <f t="shared" si="12"/>
        <v>0.47454844006568153</v>
      </c>
      <c r="AU40" s="13">
        <v>191.65154264972782</v>
      </c>
      <c r="AV40" s="7">
        <f t="shared" si="12"/>
        <v>-0.68421052631578927</v>
      </c>
      <c r="AW40" s="13">
        <v>159.70961887477316</v>
      </c>
      <c r="AX40" s="7">
        <f t="shared" si="12"/>
        <v>-0.16666666666666671</v>
      </c>
      <c r="AY40" s="13">
        <v>280</v>
      </c>
      <c r="AZ40" s="7">
        <f t="shared" si="13"/>
        <v>0.75318181818181784</v>
      </c>
      <c r="BA40" s="13">
        <v>137.14285714285722</v>
      </c>
      <c r="BB40" s="7">
        <f t="shared" si="13"/>
        <v>-0.51020408163265285</v>
      </c>
      <c r="BC40" s="13">
        <v>82.125</v>
      </c>
      <c r="BD40" s="7">
        <f t="shared" si="14"/>
        <v>-0.4011718750000004</v>
      </c>
      <c r="BE40" s="13">
        <v>77.5</v>
      </c>
      <c r="BF40" s="7">
        <f t="shared" si="15"/>
        <v>-5.631659056316593E-2</v>
      </c>
      <c r="BG40" s="13">
        <v>107.22222222222219</v>
      </c>
      <c r="BH40" s="7">
        <f t="shared" si="16"/>
        <v>0.38351254480286684</v>
      </c>
      <c r="BI40" s="13">
        <v>133.75</v>
      </c>
      <c r="BJ40" s="7">
        <f t="shared" si="17"/>
        <v>0.24740932642487096</v>
      </c>
      <c r="BK40" s="13">
        <v>621.42857142857122</v>
      </c>
      <c r="BL40" s="7">
        <f t="shared" si="18"/>
        <v>3.6461949265687563</v>
      </c>
      <c r="BM40" s="13">
        <v>556.25</v>
      </c>
      <c r="BN40" s="7">
        <f t="shared" si="18"/>
        <v>-0.1048850574712641</v>
      </c>
      <c r="BO40" s="13">
        <v>533.3333333333336</v>
      </c>
      <c r="BP40" s="7">
        <f t="shared" si="18"/>
        <v>-4.119850187265868E-2</v>
      </c>
      <c r="BQ40" s="13">
        <v>535.71428571428589</v>
      </c>
      <c r="BR40" s="7">
        <f t="shared" si="18"/>
        <v>4.4642857142855518E-3</v>
      </c>
      <c r="BS40" s="13">
        <v>506.89655172413791</v>
      </c>
      <c r="BT40" s="7">
        <f t="shared" si="18"/>
        <v>-5.37931034482763E-2</v>
      </c>
      <c r="BU40" s="13">
        <v>461.93103448275861</v>
      </c>
      <c r="BV40" s="7">
        <f t="shared" si="22"/>
        <v>-8.8707482993197292E-2</v>
      </c>
      <c r="BW40" s="17">
        <v>404.14482758620693</v>
      </c>
      <c r="BX40" s="7">
        <f t="shared" si="22"/>
        <v>-0.12509704389369944</v>
      </c>
      <c r="BY40" s="8">
        <f t="shared" si="20"/>
        <v>17.633068362480127</v>
      </c>
    </row>
    <row r="41" spans="1:77" x14ac:dyDescent="0.25">
      <c r="A41" s="5" t="s">
        <v>174</v>
      </c>
      <c r="B41" s="5" t="s">
        <v>77</v>
      </c>
      <c r="C41" s="5" t="s">
        <v>78</v>
      </c>
      <c r="D41" s="9" t="s">
        <v>96</v>
      </c>
      <c r="E41" s="9" t="s">
        <v>120</v>
      </c>
      <c r="F41" s="10">
        <v>71.25</v>
      </c>
      <c r="G41" s="6">
        <v>71.5</v>
      </c>
      <c r="H41" s="7">
        <f t="shared" si="0"/>
        <v>3.508771929824519E-3</v>
      </c>
      <c r="I41" s="6">
        <v>380</v>
      </c>
      <c r="J41" s="7">
        <f t="shared" si="1"/>
        <v>4.314685314685315</v>
      </c>
      <c r="K41" s="6">
        <v>235</v>
      </c>
      <c r="L41" s="7">
        <f t="shared" si="1"/>
        <v>-0.38157894736842102</v>
      </c>
      <c r="M41" s="11">
        <v>85</v>
      </c>
      <c r="N41" s="7">
        <f t="shared" si="2"/>
        <v>-0.63829787234042545</v>
      </c>
      <c r="O41" s="11">
        <v>88.333333333333343</v>
      </c>
      <c r="P41" s="7">
        <f t="shared" si="3"/>
        <v>3.9215686274509949E-2</v>
      </c>
      <c r="Q41" s="11">
        <v>158.57142857142858</v>
      </c>
      <c r="R41" s="7">
        <f t="shared" si="4"/>
        <v>0.79514824797843664</v>
      </c>
      <c r="S41" s="12">
        <v>95</v>
      </c>
      <c r="T41" s="7">
        <f t="shared" si="5"/>
        <v>-0.40090090090090091</v>
      </c>
      <c r="U41" s="11">
        <v>480</v>
      </c>
      <c r="V41" s="7">
        <f t="shared" si="6"/>
        <v>4.0526315789473681</v>
      </c>
      <c r="W41" s="11">
        <v>850</v>
      </c>
      <c r="X41" s="7">
        <f t="shared" si="7"/>
        <v>0.77083333333333315</v>
      </c>
      <c r="Y41" s="13">
        <v>308.5714285714285</v>
      </c>
      <c r="Z41" s="7">
        <f t="shared" si="8"/>
        <v>-0.63697478991596646</v>
      </c>
      <c r="AA41" s="13">
        <v>214.6875</v>
      </c>
      <c r="AB41" s="7">
        <f t="shared" si="9"/>
        <v>-0.30425347222222215</v>
      </c>
      <c r="AC41" s="13">
        <v>228.75</v>
      </c>
      <c r="AD41" s="7">
        <f t="shared" si="10"/>
        <v>6.5502183406113523E-2</v>
      </c>
      <c r="AE41" s="13">
        <v>679.55357142857144</v>
      </c>
      <c r="AF41" s="7">
        <f t="shared" si="11"/>
        <v>1.9707259953161593</v>
      </c>
      <c r="AG41" s="13">
        <v>689.28571428571445</v>
      </c>
      <c r="AH41" s="7">
        <f t="shared" si="11"/>
        <v>1.4321376954408436E-2</v>
      </c>
      <c r="AI41" s="13">
        <v>665.8125</v>
      </c>
      <c r="AJ41" s="7">
        <f t="shared" si="11"/>
        <v>-3.4054404145077939E-2</v>
      </c>
      <c r="AK41" s="13">
        <v>667.5</v>
      </c>
      <c r="AL41" s="7">
        <f t="shared" si="11"/>
        <v>2.5344973246971846E-3</v>
      </c>
      <c r="AM41" s="13">
        <v>118.82142857142857</v>
      </c>
      <c r="AN41" s="7">
        <f t="shared" si="11"/>
        <v>-0.82199036918138035</v>
      </c>
      <c r="AO41" s="13">
        <v>1218.1875</v>
      </c>
      <c r="AP41" s="7">
        <f t="shared" si="21"/>
        <v>9.2522542831379617</v>
      </c>
      <c r="AQ41" s="13">
        <v>3030</v>
      </c>
      <c r="AR41" s="7">
        <f t="shared" si="12"/>
        <v>1.4873018316145914</v>
      </c>
      <c r="AS41" s="13">
        <v>3300</v>
      </c>
      <c r="AT41" s="7">
        <f t="shared" si="12"/>
        <v>8.9108910891089146E-2</v>
      </c>
      <c r="AU41" s="13">
        <v>3300</v>
      </c>
      <c r="AV41" s="7">
        <f t="shared" si="12"/>
        <v>0</v>
      </c>
      <c r="AW41" s="13">
        <v>3300</v>
      </c>
      <c r="AX41" s="7">
        <f t="shared" si="12"/>
        <v>0</v>
      </c>
      <c r="AY41" s="13">
        <v>3300</v>
      </c>
      <c r="AZ41" s="7">
        <f t="shared" si="13"/>
        <v>0</v>
      </c>
      <c r="BA41" s="13">
        <v>4200</v>
      </c>
      <c r="BB41" s="7">
        <f t="shared" si="13"/>
        <v>0.27272727272727265</v>
      </c>
      <c r="BC41" s="13">
        <v>465</v>
      </c>
      <c r="BD41" s="7">
        <f t="shared" si="14"/>
        <v>-0.88928571428571435</v>
      </c>
      <c r="BE41" s="13">
        <v>550.5</v>
      </c>
      <c r="BF41" s="7">
        <f t="shared" si="15"/>
        <v>0.18387096774193551</v>
      </c>
      <c r="BG41" s="13">
        <v>537.75</v>
      </c>
      <c r="BH41" s="7">
        <f t="shared" si="16"/>
        <v>-2.31607629427792E-2</v>
      </c>
      <c r="BI41" s="13">
        <v>554.46428571428567</v>
      </c>
      <c r="BJ41" s="7">
        <f t="shared" si="17"/>
        <v>3.1081888822474469E-2</v>
      </c>
      <c r="BK41" s="13">
        <v>408.26086956521743</v>
      </c>
      <c r="BL41" s="7">
        <f t="shared" si="18"/>
        <v>-0.26368409997899589</v>
      </c>
      <c r="BM41" s="13">
        <v>678.75</v>
      </c>
      <c r="BN41" s="7">
        <f t="shared" si="18"/>
        <v>0.66253993610223605</v>
      </c>
      <c r="BO41" s="13">
        <v>592.80000000000007</v>
      </c>
      <c r="BP41" s="7">
        <f t="shared" si="18"/>
        <v>-0.12662983425414354</v>
      </c>
      <c r="BQ41" s="13">
        <v>729.69230769230774</v>
      </c>
      <c r="BR41" s="7">
        <f t="shared" si="18"/>
        <v>0.23092494549984438</v>
      </c>
      <c r="BS41" s="13">
        <v>110.875</v>
      </c>
      <c r="BT41" s="7">
        <f t="shared" si="18"/>
        <v>-0.84805239300021085</v>
      </c>
      <c r="BU41" s="13">
        <v>107.75</v>
      </c>
      <c r="BV41" s="7">
        <f t="shared" si="22"/>
        <v>-2.8184892897406968E-2</v>
      </c>
      <c r="BW41" s="17">
        <v>106.625</v>
      </c>
      <c r="BX41" s="7">
        <f t="shared" si="22"/>
        <v>-1.0440835266821437E-2</v>
      </c>
      <c r="BY41" s="8">
        <f t="shared" si="20"/>
        <v>0.49649122807017532</v>
      </c>
    </row>
    <row r="42" spans="1:77" x14ac:dyDescent="0.25">
      <c r="A42" s="5" t="s">
        <v>175</v>
      </c>
      <c r="B42" s="5" t="s">
        <v>122</v>
      </c>
      <c r="C42" s="5" t="s">
        <v>123</v>
      </c>
      <c r="D42" s="5" t="s">
        <v>130</v>
      </c>
      <c r="E42" s="5" t="s">
        <v>131</v>
      </c>
      <c r="F42" s="10">
        <v>8.6</v>
      </c>
      <c r="G42" s="6">
        <v>8.6</v>
      </c>
      <c r="H42" s="7">
        <f t="shared" si="0"/>
        <v>0</v>
      </c>
      <c r="I42" s="6">
        <v>8.6</v>
      </c>
      <c r="J42" s="7">
        <f t="shared" si="1"/>
        <v>0</v>
      </c>
      <c r="K42" s="6">
        <v>25</v>
      </c>
      <c r="L42" s="7">
        <f t="shared" ref="L42:L44" si="23">(K42/I42*100-100)/100</f>
        <v>1.9069767441860466</v>
      </c>
      <c r="M42" s="11">
        <v>25</v>
      </c>
      <c r="N42" s="7">
        <f t="shared" si="2"/>
        <v>0</v>
      </c>
      <c r="O42" s="11">
        <v>25</v>
      </c>
      <c r="P42" s="7">
        <f t="shared" si="3"/>
        <v>0</v>
      </c>
      <c r="Q42" s="11">
        <v>25</v>
      </c>
      <c r="R42" s="7">
        <f t="shared" si="4"/>
        <v>0</v>
      </c>
      <c r="S42" s="12">
        <v>25</v>
      </c>
      <c r="T42" s="7">
        <f t="shared" si="5"/>
        <v>0</v>
      </c>
      <c r="U42" s="11">
        <v>31.25</v>
      </c>
      <c r="V42" s="7">
        <f t="shared" si="6"/>
        <v>0.25</v>
      </c>
      <c r="W42" s="11">
        <v>43.75</v>
      </c>
      <c r="X42" s="7">
        <f t="shared" si="7"/>
        <v>0.4</v>
      </c>
      <c r="Y42" s="13">
        <v>50</v>
      </c>
      <c r="Z42" s="7">
        <f t="shared" si="8"/>
        <v>0.14285714285714277</v>
      </c>
      <c r="AA42" s="13">
        <v>50</v>
      </c>
      <c r="AB42" s="7">
        <f t="shared" si="9"/>
        <v>0</v>
      </c>
      <c r="AC42" s="13">
        <v>50</v>
      </c>
      <c r="AD42" s="7">
        <f t="shared" si="10"/>
        <v>0</v>
      </c>
      <c r="AE42" s="13">
        <v>56.25</v>
      </c>
      <c r="AF42" s="7">
        <f t="shared" si="11"/>
        <v>0.125</v>
      </c>
      <c r="AG42" s="13">
        <v>50</v>
      </c>
      <c r="AH42" s="7">
        <f t="shared" si="11"/>
        <v>-0.11111111111111115</v>
      </c>
      <c r="AI42" s="13">
        <v>50</v>
      </c>
      <c r="AJ42" s="7">
        <f t="shared" si="11"/>
        <v>0</v>
      </c>
      <c r="AK42" s="13">
        <v>37.5</v>
      </c>
      <c r="AL42" s="7">
        <f t="shared" si="11"/>
        <v>-0.25</v>
      </c>
      <c r="AM42" s="13">
        <v>46.875</v>
      </c>
      <c r="AN42" s="7">
        <f t="shared" si="11"/>
        <v>0.25</v>
      </c>
      <c r="AO42" s="13">
        <v>50</v>
      </c>
      <c r="AP42" s="7">
        <f t="shared" si="21"/>
        <v>6.6666666666666707E-2</v>
      </c>
      <c r="AQ42" s="13">
        <v>50</v>
      </c>
      <c r="AR42" s="7">
        <f t="shared" si="12"/>
        <v>0</v>
      </c>
      <c r="AS42" s="13">
        <v>62.5</v>
      </c>
      <c r="AT42" s="7">
        <f t="shared" si="12"/>
        <v>0.25</v>
      </c>
      <c r="AU42" s="13">
        <v>52.678571428571431</v>
      </c>
      <c r="AV42" s="7">
        <f t="shared" si="12"/>
        <v>-0.15714285714285708</v>
      </c>
      <c r="AW42" s="13">
        <v>55.555555555555557</v>
      </c>
      <c r="AX42" s="7">
        <f t="shared" si="12"/>
        <v>5.4613935969868098E-2</v>
      </c>
      <c r="AY42" s="13">
        <v>60</v>
      </c>
      <c r="AZ42" s="7">
        <f t="shared" si="13"/>
        <v>0.08</v>
      </c>
      <c r="BA42" s="13">
        <v>60</v>
      </c>
      <c r="BB42" s="7">
        <f t="shared" si="13"/>
        <v>0</v>
      </c>
      <c r="BC42" s="13">
        <v>57.954545454545453</v>
      </c>
      <c r="BD42" s="7">
        <f t="shared" si="14"/>
        <v>-3.4090909090909068E-2</v>
      </c>
      <c r="BE42" s="13">
        <v>50</v>
      </c>
      <c r="BF42" s="7">
        <f t="shared" si="15"/>
        <v>-0.13725490196078424</v>
      </c>
      <c r="BG42" s="13">
        <v>50</v>
      </c>
      <c r="BH42" s="7">
        <f t="shared" si="16"/>
        <v>0</v>
      </c>
      <c r="BI42" s="13">
        <v>50</v>
      </c>
      <c r="BJ42" s="7">
        <f t="shared" si="17"/>
        <v>0</v>
      </c>
      <c r="BK42" s="13">
        <v>50</v>
      </c>
      <c r="BL42" s="7">
        <f t="shared" si="18"/>
        <v>0</v>
      </c>
      <c r="BM42" s="13">
        <v>50</v>
      </c>
      <c r="BN42" s="7">
        <f t="shared" si="18"/>
        <v>0</v>
      </c>
      <c r="BO42" s="13">
        <v>50</v>
      </c>
      <c r="BP42" s="7">
        <f t="shared" si="18"/>
        <v>0</v>
      </c>
      <c r="BQ42" s="13">
        <v>50</v>
      </c>
      <c r="BR42" s="7">
        <f t="shared" si="18"/>
        <v>0</v>
      </c>
      <c r="BS42" s="13">
        <v>40</v>
      </c>
      <c r="BT42" s="7">
        <f t="shared" si="18"/>
        <v>-0.2</v>
      </c>
      <c r="BU42" s="13">
        <v>40</v>
      </c>
      <c r="BV42" s="7">
        <f t="shared" si="22"/>
        <v>0</v>
      </c>
      <c r="BW42" s="17">
        <v>40</v>
      </c>
      <c r="BX42" s="7">
        <f t="shared" si="22"/>
        <v>0</v>
      </c>
      <c r="BY42" s="8">
        <f t="shared" si="20"/>
        <v>3.6511627906976747</v>
      </c>
    </row>
    <row r="43" spans="1:77" x14ac:dyDescent="0.25">
      <c r="A43" s="5" t="s">
        <v>176</v>
      </c>
      <c r="B43" s="5" t="s">
        <v>124</v>
      </c>
      <c r="C43" s="5" t="s">
        <v>125</v>
      </c>
      <c r="D43" s="5" t="s">
        <v>128</v>
      </c>
      <c r="E43" s="5" t="s">
        <v>132</v>
      </c>
      <c r="F43" s="10">
        <v>14.6</v>
      </c>
      <c r="G43" s="6">
        <v>14.6</v>
      </c>
      <c r="H43" s="7">
        <f t="shared" si="0"/>
        <v>0</v>
      </c>
      <c r="I43" s="6">
        <v>14.6</v>
      </c>
      <c r="J43" s="7">
        <f t="shared" ref="J43:J44" si="24">(I43/G43*100-100)/100</f>
        <v>0</v>
      </c>
      <c r="K43" s="6">
        <v>50</v>
      </c>
      <c r="L43" s="7">
        <f t="shared" si="23"/>
        <v>2.4246575342465753</v>
      </c>
      <c r="M43" s="11">
        <v>50</v>
      </c>
      <c r="N43" s="7">
        <f t="shared" si="2"/>
        <v>0</v>
      </c>
      <c r="O43" s="11">
        <v>50</v>
      </c>
      <c r="P43" s="7">
        <f t="shared" si="3"/>
        <v>0</v>
      </c>
      <c r="Q43" s="11">
        <v>50</v>
      </c>
      <c r="R43" s="7">
        <f t="shared" si="4"/>
        <v>0</v>
      </c>
      <c r="S43" s="12">
        <v>50</v>
      </c>
      <c r="T43" s="7">
        <f t="shared" si="5"/>
        <v>0</v>
      </c>
      <c r="U43" s="11">
        <v>62.5</v>
      </c>
      <c r="V43" s="7">
        <f t="shared" si="6"/>
        <v>0.25</v>
      </c>
      <c r="W43" s="11">
        <v>87.5</v>
      </c>
      <c r="X43" s="7">
        <f t="shared" si="7"/>
        <v>0.4</v>
      </c>
      <c r="Y43" s="13">
        <v>100</v>
      </c>
      <c r="Z43" s="7">
        <f t="shared" si="8"/>
        <v>0.14285714285714277</v>
      </c>
      <c r="AA43" s="13">
        <v>100</v>
      </c>
      <c r="AB43" s="7">
        <f t="shared" si="9"/>
        <v>0</v>
      </c>
      <c r="AC43" s="13">
        <v>100</v>
      </c>
      <c r="AD43" s="7">
        <f t="shared" si="10"/>
        <v>0</v>
      </c>
      <c r="AE43" s="13">
        <v>112.5</v>
      </c>
      <c r="AF43" s="7">
        <f t="shared" si="11"/>
        <v>0.125</v>
      </c>
      <c r="AG43" s="13">
        <v>100</v>
      </c>
      <c r="AH43" s="7">
        <f t="shared" si="11"/>
        <v>-0.11111111111111115</v>
      </c>
      <c r="AI43" s="13">
        <v>100</v>
      </c>
      <c r="AJ43" s="7">
        <f t="shared" si="11"/>
        <v>0</v>
      </c>
      <c r="AK43" s="13">
        <v>75</v>
      </c>
      <c r="AL43" s="7">
        <f t="shared" si="11"/>
        <v>-0.25</v>
      </c>
      <c r="AM43" s="13">
        <v>93.75</v>
      </c>
      <c r="AN43" s="7">
        <f t="shared" si="11"/>
        <v>0.25</v>
      </c>
      <c r="AO43" s="13">
        <v>100</v>
      </c>
      <c r="AP43" s="7">
        <f t="shared" si="21"/>
        <v>6.6666666666666707E-2</v>
      </c>
      <c r="AQ43" s="13">
        <v>100</v>
      </c>
      <c r="AR43" s="7">
        <f t="shared" si="12"/>
        <v>0</v>
      </c>
      <c r="AS43" s="13">
        <v>125</v>
      </c>
      <c r="AT43" s="7">
        <f t="shared" si="12"/>
        <v>0.25</v>
      </c>
      <c r="AU43" s="13">
        <v>105.35714285714286</v>
      </c>
      <c r="AV43" s="7">
        <f t="shared" si="12"/>
        <v>-0.15714285714285708</v>
      </c>
      <c r="AW43" s="13">
        <v>111.11111111111111</v>
      </c>
      <c r="AX43" s="7">
        <f t="shared" si="12"/>
        <v>5.4613935969868098E-2</v>
      </c>
      <c r="AY43" s="13">
        <v>120</v>
      </c>
      <c r="AZ43" s="7">
        <f t="shared" si="13"/>
        <v>0.08</v>
      </c>
      <c r="BA43" s="13">
        <v>120</v>
      </c>
      <c r="BB43" s="7">
        <f t="shared" si="13"/>
        <v>0</v>
      </c>
      <c r="BC43" s="13">
        <v>115.90909090909091</v>
      </c>
      <c r="BD43" s="7">
        <f t="shared" si="14"/>
        <v>-3.4090909090909068E-2</v>
      </c>
      <c r="BE43" s="13">
        <v>100</v>
      </c>
      <c r="BF43" s="7">
        <f t="shared" si="15"/>
        <v>-0.13725490196078424</v>
      </c>
      <c r="BG43" s="13">
        <v>100</v>
      </c>
      <c r="BH43" s="7">
        <f t="shared" si="16"/>
        <v>0</v>
      </c>
      <c r="BI43" s="13">
        <v>100</v>
      </c>
      <c r="BJ43" s="7">
        <f t="shared" si="17"/>
        <v>0</v>
      </c>
      <c r="BK43" s="13">
        <v>100</v>
      </c>
      <c r="BL43" s="7">
        <f t="shared" si="18"/>
        <v>0</v>
      </c>
      <c r="BM43" s="13">
        <v>100</v>
      </c>
      <c r="BN43" s="7">
        <f t="shared" si="18"/>
        <v>0</v>
      </c>
      <c r="BO43" s="13">
        <v>100</v>
      </c>
      <c r="BP43" s="7">
        <f t="shared" si="18"/>
        <v>0</v>
      </c>
      <c r="BQ43" s="13">
        <v>100</v>
      </c>
      <c r="BR43" s="7">
        <f t="shared" si="18"/>
        <v>0</v>
      </c>
      <c r="BS43" s="13">
        <v>79</v>
      </c>
      <c r="BT43" s="7">
        <f t="shared" si="18"/>
        <v>-0.21</v>
      </c>
      <c r="BU43" s="13">
        <v>79</v>
      </c>
      <c r="BV43" s="7">
        <f t="shared" si="22"/>
        <v>0</v>
      </c>
      <c r="BW43" s="17">
        <v>74</v>
      </c>
      <c r="BX43" s="7">
        <f t="shared" si="22"/>
        <v>-6.3291139240506306E-2</v>
      </c>
      <c r="BY43" s="8">
        <f t="shared" si="20"/>
        <v>4.0684931506849313</v>
      </c>
    </row>
    <row r="44" spans="1:77" x14ac:dyDescent="0.25">
      <c r="A44" s="5" t="s">
        <v>177</v>
      </c>
      <c r="B44" s="5" t="s">
        <v>126</v>
      </c>
      <c r="C44" s="5" t="s">
        <v>127</v>
      </c>
      <c r="D44" s="5" t="s">
        <v>129</v>
      </c>
      <c r="E44" s="5" t="s">
        <v>133</v>
      </c>
      <c r="F44" s="10">
        <v>24</v>
      </c>
      <c r="G44" s="6">
        <v>24</v>
      </c>
      <c r="H44" s="7">
        <f t="shared" si="0"/>
        <v>0</v>
      </c>
      <c r="I44" s="6">
        <v>24</v>
      </c>
      <c r="J44" s="7">
        <f t="shared" si="24"/>
        <v>0</v>
      </c>
      <c r="K44" s="6">
        <v>100</v>
      </c>
      <c r="L44" s="7">
        <f t="shared" si="23"/>
        <v>3.166666666666667</v>
      </c>
      <c r="M44" s="11">
        <v>100</v>
      </c>
      <c r="N44" s="7">
        <f t="shared" si="2"/>
        <v>0</v>
      </c>
      <c r="O44" s="11">
        <v>100</v>
      </c>
      <c r="P44" s="7">
        <f t="shared" si="3"/>
        <v>0</v>
      </c>
      <c r="Q44" s="11">
        <v>100</v>
      </c>
      <c r="R44" s="7">
        <f t="shared" si="4"/>
        <v>0</v>
      </c>
      <c r="S44" s="12">
        <v>100</v>
      </c>
      <c r="T44" s="7">
        <f t="shared" si="5"/>
        <v>0</v>
      </c>
      <c r="U44" s="11">
        <v>125</v>
      </c>
      <c r="V44" s="7">
        <f t="shared" si="6"/>
        <v>0.25</v>
      </c>
      <c r="W44" s="11">
        <v>175</v>
      </c>
      <c r="X44" s="7">
        <f t="shared" si="7"/>
        <v>0.4</v>
      </c>
      <c r="Y44" s="13">
        <v>200</v>
      </c>
      <c r="Z44" s="7">
        <f t="shared" si="8"/>
        <v>0.14285714285714277</v>
      </c>
      <c r="AA44" s="13">
        <v>200</v>
      </c>
      <c r="AB44" s="7">
        <f t="shared" si="9"/>
        <v>0</v>
      </c>
      <c r="AC44" s="13">
        <v>200</v>
      </c>
      <c r="AD44" s="7">
        <f t="shared" si="10"/>
        <v>0</v>
      </c>
      <c r="AE44" s="13">
        <v>225</v>
      </c>
      <c r="AF44" s="7">
        <f t="shared" si="11"/>
        <v>0.125</v>
      </c>
      <c r="AG44" s="13">
        <v>200</v>
      </c>
      <c r="AH44" s="7">
        <f t="shared" si="11"/>
        <v>-0.11111111111111115</v>
      </c>
      <c r="AI44" s="13">
        <v>200</v>
      </c>
      <c r="AJ44" s="7">
        <f t="shared" si="11"/>
        <v>0</v>
      </c>
      <c r="AK44" s="13">
        <v>150</v>
      </c>
      <c r="AL44" s="7">
        <f t="shared" si="11"/>
        <v>-0.25</v>
      </c>
      <c r="AM44" s="13">
        <v>187.5</v>
      </c>
      <c r="AN44" s="7">
        <f t="shared" si="11"/>
        <v>0.25</v>
      </c>
      <c r="AO44" s="13">
        <v>200</v>
      </c>
      <c r="AP44" s="7">
        <f t="shared" si="21"/>
        <v>6.6666666666666707E-2</v>
      </c>
      <c r="AQ44" s="13">
        <v>200</v>
      </c>
      <c r="AR44" s="7">
        <f t="shared" si="12"/>
        <v>0</v>
      </c>
      <c r="AS44" s="13">
        <v>250</v>
      </c>
      <c r="AT44" s="7">
        <f t="shared" si="12"/>
        <v>0.25</v>
      </c>
      <c r="AU44" s="13">
        <v>210.71428571428572</v>
      </c>
      <c r="AV44" s="7">
        <f t="shared" si="12"/>
        <v>-0.15714285714285708</v>
      </c>
      <c r="AW44" s="13">
        <v>222.22222222222223</v>
      </c>
      <c r="AX44" s="7">
        <f t="shared" si="12"/>
        <v>5.4613935969868098E-2</v>
      </c>
      <c r="AY44" s="13">
        <v>240</v>
      </c>
      <c r="AZ44" s="7">
        <f t="shared" si="13"/>
        <v>0.08</v>
      </c>
      <c r="BA44" s="13">
        <v>240</v>
      </c>
      <c r="BB44" s="7">
        <f t="shared" si="13"/>
        <v>0</v>
      </c>
      <c r="BC44" s="13">
        <v>231.81818181818181</v>
      </c>
      <c r="BD44" s="7">
        <f t="shared" si="14"/>
        <v>-3.4090909090909068E-2</v>
      </c>
      <c r="BE44" s="13">
        <v>200</v>
      </c>
      <c r="BF44" s="7">
        <f t="shared" si="15"/>
        <v>-0.13725490196078424</v>
      </c>
      <c r="BG44" s="13">
        <v>200</v>
      </c>
      <c r="BH44" s="7">
        <f t="shared" si="16"/>
        <v>0</v>
      </c>
      <c r="BI44" s="13">
        <v>200</v>
      </c>
      <c r="BJ44" s="7">
        <f t="shared" si="17"/>
        <v>0</v>
      </c>
      <c r="BK44" s="13">
        <v>200</v>
      </c>
      <c r="BL44" s="7">
        <f t="shared" si="18"/>
        <v>0</v>
      </c>
      <c r="BM44" s="13">
        <v>200</v>
      </c>
      <c r="BN44" s="7">
        <f t="shared" si="18"/>
        <v>0</v>
      </c>
      <c r="BO44" s="13">
        <v>200</v>
      </c>
      <c r="BP44" s="7">
        <f t="shared" si="18"/>
        <v>0</v>
      </c>
      <c r="BQ44" s="13">
        <v>200</v>
      </c>
      <c r="BR44" s="7">
        <f t="shared" si="18"/>
        <v>0</v>
      </c>
      <c r="BS44" s="13">
        <v>142</v>
      </c>
      <c r="BT44" s="7">
        <f t="shared" si="18"/>
        <v>-0.28999999999999998</v>
      </c>
      <c r="BU44" s="13">
        <v>152.80000000000001</v>
      </c>
      <c r="BV44" s="7">
        <f t="shared" si="22"/>
        <v>7.6056338028169107E-2</v>
      </c>
      <c r="BW44" s="17">
        <v>149.19999999999999</v>
      </c>
      <c r="BX44" s="7">
        <f t="shared" si="22"/>
        <v>-2.3560209424083923E-2</v>
      </c>
      <c r="BY44" s="8">
        <f t="shared" si="20"/>
        <v>5.2166666666666659</v>
      </c>
    </row>
    <row r="45" spans="1:77" x14ac:dyDescent="0.25">
      <c r="A45" s="5" t="s">
        <v>186</v>
      </c>
      <c r="B45" s="5" t="s">
        <v>187</v>
      </c>
      <c r="C45" s="5" t="s">
        <v>1</v>
      </c>
      <c r="D45" s="15" t="s">
        <v>195</v>
      </c>
      <c r="J45" s="7"/>
      <c r="M45" s="11">
        <v>15.5</v>
      </c>
      <c r="O45" s="11">
        <v>15</v>
      </c>
      <c r="P45" s="7">
        <f t="shared" si="3"/>
        <v>-3.2258064516128969E-2</v>
      </c>
      <c r="Q45" s="11">
        <v>12.5</v>
      </c>
      <c r="R45" s="7">
        <f t="shared" si="4"/>
        <v>-0.16666666666666657</v>
      </c>
      <c r="S45" s="12">
        <v>7.75</v>
      </c>
      <c r="T45" s="7">
        <f t="shared" si="5"/>
        <v>-0.38</v>
      </c>
      <c r="U45" s="11">
        <v>6.75</v>
      </c>
      <c r="V45" s="7">
        <f t="shared" si="6"/>
        <v>-0.12903225806451615</v>
      </c>
      <c r="W45" s="11">
        <v>5.75</v>
      </c>
      <c r="X45" s="7">
        <f t="shared" si="7"/>
        <v>-0.14814814814814808</v>
      </c>
      <c r="Y45" s="13">
        <v>5</v>
      </c>
      <c r="Z45" s="7">
        <f t="shared" si="8"/>
        <v>-0.13043478260869562</v>
      </c>
      <c r="AA45" s="13">
        <v>5.75</v>
      </c>
      <c r="AB45" s="7">
        <f t="shared" si="9"/>
        <v>0.14999999999999986</v>
      </c>
      <c r="AC45" s="13">
        <v>6</v>
      </c>
      <c r="AD45" s="7">
        <f t="shared" si="10"/>
        <v>4.3478260869565161E-2</v>
      </c>
      <c r="AE45" s="13">
        <v>10.53409090909091</v>
      </c>
      <c r="AF45" s="7">
        <f t="shared" si="11"/>
        <v>0.75568181818181845</v>
      </c>
      <c r="AG45" s="13">
        <v>17.25</v>
      </c>
      <c r="AH45" s="7">
        <f t="shared" si="11"/>
        <v>0.63754045307443363</v>
      </c>
      <c r="AI45" s="13">
        <v>18.524999999999999</v>
      </c>
      <c r="AJ45" s="7">
        <f t="shared" si="11"/>
        <v>7.3913043478260929E-2</v>
      </c>
      <c r="AK45" s="13">
        <v>13.227272727272727</v>
      </c>
      <c r="AL45" s="7">
        <f t="shared" si="11"/>
        <v>-0.28597718071402284</v>
      </c>
      <c r="AM45" s="13">
        <v>5.3928571428571423</v>
      </c>
      <c r="AN45" s="7">
        <f t="shared" si="11"/>
        <v>-0.59229258713794797</v>
      </c>
      <c r="AO45" s="13">
        <v>4.75</v>
      </c>
      <c r="AP45" s="7">
        <f t="shared" si="21"/>
        <v>-0.11920529801324492</v>
      </c>
      <c r="AQ45" s="13">
        <v>7.25</v>
      </c>
      <c r="AR45" s="7">
        <f t="shared" si="12"/>
        <v>0.5263157894736844</v>
      </c>
      <c r="AS45" s="13">
        <v>27.833333333333336</v>
      </c>
      <c r="AT45" s="7">
        <f t="shared" si="12"/>
        <v>2.8390804597701149</v>
      </c>
      <c r="AU45" s="13">
        <v>46.944444444444443</v>
      </c>
      <c r="AV45" s="7">
        <f t="shared" si="12"/>
        <v>0.68662674650698563</v>
      </c>
      <c r="AW45" s="13">
        <v>47.75</v>
      </c>
      <c r="AX45" s="7">
        <f t="shared" si="12"/>
        <v>1.7159763313609629E-2</v>
      </c>
      <c r="AY45" s="13">
        <v>17.600000000000001</v>
      </c>
      <c r="AZ45" s="7">
        <f t="shared" si="13"/>
        <v>-0.63141361256544504</v>
      </c>
      <c r="BA45" s="13">
        <v>5.5</v>
      </c>
      <c r="BB45" s="7">
        <f t="shared" si="13"/>
        <v>-0.6875</v>
      </c>
      <c r="BC45" s="13">
        <v>5</v>
      </c>
      <c r="BD45" s="7">
        <f t="shared" si="14"/>
        <v>-9.0909090909090939E-2</v>
      </c>
      <c r="BE45" s="13">
        <v>4</v>
      </c>
      <c r="BF45" s="7">
        <f t="shared" si="15"/>
        <v>-0.2</v>
      </c>
      <c r="BG45" s="13">
        <v>4</v>
      </c>
      <c r="BH45" s="7">
        <f t="shared" si="16"/>
        <v>0</v>
      </c>
      <c r="BI45" s="13">
        <v>2.4285714285714284</v>
      </c>
      <c r="BJ45" s="7">
        <f t="shared" si="17"/>
        <v>-0.3928571428571429</v>
      </c>
      <c r="BK45" s="13">
        <v>1.4545454545454546</v>
      </c>
      <c r="BL45" s="7">
        <f t="shared" si="18"/>
        <v>-0.40106951871657748</v>
      </c>
      <c r="BM45" s="13">
        <v>1.4285714285714286</v>
      </c>
      <c r="BN45" s="7">
        <f t="shared" si="18"/>
        <v>-1.7857142857142919E-2</v>
      </c>
      <c r="BO45" s="13">
        <v>2.2000000000000002</v>
      </c>
      <c r="BP45" s="7">
        <f t="shared" si="18"/>
        <v>0.54</v>
      </c>
      <c r="BQ45" s="13">
        <v>2</v>
      </c>
      <c r="BR45" s="7">
        <f t="shared" si="18"/>
        <v>-9.0909090909090939E-2</v>
      </c>
      <c r="BS45" s="13">
        <v>6</v>
      </c>
      <c r="BT45" s="7">
        <f t="shared" si="18"/>
        <v>2</v>
      </c>
      <c r="BU45" s="13">
        <v>6</v>
      </c>
      <c r="BV45" s="7">
        <f t="shared" si="22"/>
        <v>0</v>
      </c>
      <c r="BW45" s="17">
        <v>6</v>
      </c>
      <c r="BX45" s="7">
        <f t="shared" si="22"/>
        <v>0</v>
      </c>
      <c r="BY45" s="16">
        <f>(BW45/M45*100-100)/100</f>
        <v>-0.61290322580645162</v>
      </c>
    </row>
    <row r="46" spans="1:77" x14ac:dyDescent="0.25">
      <c r="A46" s="5" t="s">
        <v>188</v>
      </c>
      <c r="B46" s="5" t="s">
        <v>189</v>
      </c>
      <c r="C46" s="5" t="s">
        <v>1</v>
      </c>
      <c r="D46" s="15" t="s">
        <v>196</v>
      </c>
      <c r="M46" s="11">
        <v>25</v>
      </c>
      <c r="O46" s="11">
        <v>24</v>
      </c>
      <c r="P46" s="7">
        <f t="shared" si="3"/>
        <v>-0.04</v>
      </c>
      <c r="Q46" s="11">
        <v>37.5</v>
      </c>
      <c r="R46" s="7">
        <f t="shared" si="4"/>
        <v>0.5625</v>
      </c>
      <c r="S46" s="12">
        <v>19.25</v>
      </c>
      <c r="T46" s="7">
        <f t="shared" si="5"/>
        <v>-0.48666666666666669</v>
      </c>
      <c r="U46" s="11">
        <v>14.25</v>
      </c>
      <c r="V46" s="7">
        <f t="shared" si="6"/>
        <v>-0.25974025974025977</v>
      </c>
      <c r="W46" s="11">
        <v>9.5</v>
      </c>
      <c r="X46" s="7">
        <f t="shared" si="7"/>
        <v>-0.33333333333333343</v>
      </c>
      <c r="Y46" s="13">
        <v>10</v>
      </c>
      <c r="Z46" s="7">
        <f t="shared" si="8"/>
        <v>5.2631578947368356E-2</v>
      </c>
      <c r="AA46" s="13">
        <v>10.25</v>
      </c>
      <c r="AB46" s="7">
        <f t="shared" si="9"/>
        <v>2.4999999999999859E-2</v>
      </c>
      <c r="AC46" s="13">
        <v>17.375</v>
      </c>
      <c r="AD46" s="7">
        <f>(AC46/AA46*100-100)/100</f>
        <v>0.69512195121951204</v>
      </c>
      <c r="AE46" s="13">
        <v>23.045454545454547</v>
      </c>
      <c r="AF46" s="7">
        <f t="shared" si="11"/>
        <v>0.32635709614126879</v>
      </c>
      <c r="AG46" s="13">
        <v>32.0625</v>
      </c>
      <c r="AH46" s="7">
        <f t="shared" si="11"/>
        <v>0.3912721893491124</v>
      </c>
      <c r="AI46" s="13">
        <v>26.25</v>
      </c>
      <c r="AJ46" s="7">
        <f t="shared" si="11"/>
        <v>-0.18128654970760238</v>
      </c>
      <c r="AK46" s="13">
        <v>17.8125</v>
      </c>
      <c r="AL46" s="7">
        <f t="shared" si="11"/>
        <v>-0.3214285714285714</v>
      </c>
      <c r="AM46" s="13">
        <v>7.9107142857142856</v>
      </c>
      <c r="AN46" s="7">
        <f t="shared" si="11"/>
        <v>-0.55588972431077688</v>
      </c>
      <c r="AO46" s="13">
        <v>11.25</v>
      </c>
      <c r="AP46" s="7">
        <f t="shared" si="21"/>
        <v>0.42212189616252827</v>
      </c>
      <c r="AQ46" s="13">
        <v>34.25</v>
      </c>
      <c r="AR46" s="7">
        <f t="shared" si="12"/>
        <v>2.0444444444444447</v>
      </c>
      <c r="AS46" s="13">
        <v>48.916666666666671</v>
      </c>
      <c r="AT46" s="7">
        <f t="shared" si="12"/>
        <v>0.4282238442822387</v>
      </c>
      <c r="AU46" s="13">
        <v>63.916666666666664</v>
      </c>
      <c r="AV46" s="7">
        <f t="shared" si="12"/>
        <v>0.30664395229982944</v>
      </c>
      <c r="AW46" s="13">
        <v>65.5</v>
      </c>
      <c r="AX46" s="7">
        <f t="shared" si="12"/>
        <v>2.4771838331160437E-2</v>
      </c>
      <c r="AY46" s="13">
        <v>31.5</v>
      </c>
      <c r="AZ46" s="7">
        <f t="shared" si="13"/>
        <v>-0.51908396946564883</v>
      </c>
      <c r="BA46" s="13">
        <v>13.909090909090908</v>
      </c>
      <c r="BB46" s="7">
        <f t="shared" si="13"/>
        <v>-0.55844155844155841</v>
      </c>
      <c r="BC46" s="13">
        <v>12.636363636363637</v>
      </c>
      <c r="BD46" s="7">
        <f t="shared" si="14"/>
        <v>-9.1503267973856162E-2</v>
      </c>
      <c r="BE46" s="13">
        <v>9.25</v>
      </c>
      <c r="BF46" s="7">
        <f t="shared" si="15"/>
        <v>-0.26798561151079142</v>
      </c>
      <c r="BG46" s="13">
        <v>8.6666666666666661</v>
      </c>
      <c r="BH46" s="7">
        <f t="shared" si="16"/>
        <v>-6.3063063063063113E-2</v>
      </c>
      <c r="BI46" s="13">
        <v>7.375</v>
      </c>
      <c r="BJ46" s="7">
        <f t="shared" si="17"/>
        <v>-0.14903846153846145</v>
      </c>
      <c r="BK46" s="13">
        <v>8</v>
      </c>
      <c r="BL46" s="7">
        <f t="shared" si="18"/>
        <v>8.4745762711864361E-2</v>
      </c>
      <c r="BM46" s="13">
        <v>8.125</v>
      </c>
      <c r="BN46" s="7">
        <f t="shared" si="18"/>
        <v>1.5625E-2</v>
      </c>
      <c r="BO46" s="13">
        <v>9</v>
      </c>
      <c r="BP46" s="7">
        <f t="shared" si="18"/>
        <v>0.10769230769230774</v>
      </c>
      <c r="BQ46" s="13">
        <v>8.3000000000000007</v>
      </c>
      <c r="BR46" s="7">
        <f t="shared" si="18"/>
        <v>-7.777777777777771E-2</v>
      </c>
      <c r="BS46" s="13">
        <v>8.1003638568829572</v>
      </c>
      <c r="BT46" s="7">
        <f t="shared" si="18"/>
        <v>-2.4052547363499314E-2</v>
      </c>
      <c r="BU46" s="13">
        <v>7.852733686067018</v>
      </c>
      <c r="BV46" s="7">
        <f t="shared" si="22"/>
        <v>-3.0570252792474974E-2</v>
      </c>
      <c r="BW46" s="17">
        <v>8.9745527840765913</v>
      </c>
      <c r="BX46" s="7">
        <f t="shared" si="22"/>
        <v>0.14285714285714277</v>
      </c>
      <c r="BY46" s="16">
        <f t="shared" ref="BY46:BY48" si="25">(BW46/M46*100-100)/100</f>
        <v>-0.64101788863693632</v>
      </c>
    </row>
    <row r="47" spans="1:77" x14ac:dyDescent="0.25">
      <c r="A47" s="5" t="s">
        <v>190</v>
      </c>
      <c r="B47" s="5" t="s">
        <v>191</v>
      </c>
      <c r="C47" s="5" t="s">
        <v>192</v>
      </c>
      <c r="D47" s="15" t="s">
        <v>198</v>
      </c>
      <c r="M47" s="11">
        <v>80</v>
      </c>
      <c r="O47" s="11">
        <v>78.333333333333329</v>
      </c>
      <c r="P47" s="7">
        <f t="shared" si="3"/>
        <v>-2.0833333333333429E-2</v>
      </c>
      <c r="Q47" s="11">
        <v>57.5</v>
      </c>
      <c r="R47" s="7">
        <f t="shared" si="4"/>
        <v>-0.26595744680851069</v>
      </c>
      <c r="S47" s="12">
        <v>27.5</v>
      </c>
      <c r="T47" s="7">
        <f t="shared" si="5"/>
        <v>-0.52173913043478259</v>
      </c>
      <c r="U47" s="11">
        <v>33.75</v>
      </c>
      <c r="V47" s="7">
        <f t="shared" si="6"/>
        <v>0.22727272727272735</v>
      </c>
      <c r="W47" s="11">
        <v>11</v>
      </c>
      <c r="X47" s="7">
        <f t="shared" si="7"/>
        <v>-0.67407407407407405</v>
      </c>
      <c r="Y47" s="13">
        <v>13.5</v>
      </c>
      <c r="Z47" s="7">
        <f t="shared" si="8"/>
        <v>0.22727272727272735</v>
      </c>
      <c r="AA47" s="13">
        <v>18.75</v>
      </c>
      <c r="AB47" s="7">
        <f t="shared" si="9"/>
        <v>0.38888888888888884</v>
      </c>
      <c r="AC47" s="13">
        <v>20</v>
      </c>
      <c r="AD47" s="7">
        <f t="shared" si="10"/>
        <v>6.6666666666666707E-2</v>
      </c>
      <c r="AE47" s="13">
        <v>99.25</v>
      </c>
      <c r="AF47" s="7">
        <f t="shared" si="11"/>
        <v>3.9625000000000004</v>
      </c>
      <c r="AG47" s="13">
        <v>203.75</v>
      </c>
      <c r="AH47" s="7">
        <f t="shared" si="11"/>
        <v>1.0528967254408061</v>
      </c>
      <c r="AI47" s="13">
        <v>562.5</v>
      </c>
      <c r="AJ47" s="7">
        <f t="shared" si="11"/>
        <v>1.7607361963190187</v>
      </c>
      <c r="AK47" s="13">
        <v>225.32894736842104</v>
      </c>
      <c r="AL47" s="7">
        <f t="shared" si="11"/>
        <v>-0.59941520467836251</v>
      </c>
      <c r="AM47" s="13">
        <v>44.134615384615387</v>
      </c>
      <c r="AN47" s="7">
        <f t="shared" si="11"/>
        <v>-0.80413250982594053</v>
      </c>
      <c r="AO47" s="13">
        <v>62.777777777777779</v>
      </c>
      <c r="AP47" s="7">
        <f t="shared" si="21"/>
        <v>0.42241587993221968</v>
      </c>
      <c r="AQ47" s="13">
        <v>292.72727272727275</v>
      </c>
      <c r="AR47" s="7">
        <f t="shared" si="12"/>
        <v>3.6629123089300082</v>
      </c>
      <c r="AS47" s="13">
        <v>1422.5</v>
      </c>
      <c r="AT47" s="7">
        <f t="shared" si="12"/>
        <v>3.8594720496894404</v>
      </c>
      <c r="AU47" s="13">
        <v>1117.65625</v>
      </c>
      <c r="AV47" s="7">
        <f t="shared" si="12"/>
        <v>-0.21430140597539535</v>
      </c>
      <c r="AW47" s="13">
        <v>1317.0833333333335</v>
      </c>
      <c r="AX47" s="7">
        <f t="shared" si="12"/>
        <v>0.17843329139288897</v>
      </c>
      <c r="AY47" s="13">
        <v>388.75</v>
      </c>
      <c r="AZ47" s="7">
        <f t="shared" si="13"/>
        <v>-0.70484024043024363</v>
      </c>
      <c r="BA47" s="13">
        <v>135.58823529411765</v>
      </c>
      <c r="BB47" s="7">
        <f t="shared" si="13"/>
        <v>-0.65121997351995464</v>
      </c>
      <c r="BC47" s="13">
        <v>129.30555555555554</v>
      </c>
      <c r="BD47" s="7">
        <f t="shared" si="14"/>
        <v>-4.6336466618462427E-2</v>
      </c>
      <c r="BE47" s="13">
        <v>88.333333333333329</v>
      </c>
      <c r="BF47" s="7">
        <f t="shared" si="15"/>
        <v>-0.31686358754027921</v>
      </c>
      <c r="BG47" s="13">
        <v>50.714285714285715</v>
      </c>
      <c r="BH47" s="7">
        <f t="shared" si="16"/>
        <v>-0.42587601078167109</v>
      </c>
      <c r="BI47" s="13">
        <v>33.363636363636367</v>
      </c>
      <c r="BJ47" s="7">
        <f t="shared" si="17"/>
        <v>-0.34212548015364902</v>
      </c>
      <c r="BK47" s="13">
        <v>34.117647058823529</v>
      </c>
      <c r="BL47" s="7">
        <f t="shared" si="18"/>
        <v>2.2599775605064848E-2</v>
      </c>
      <c r="BM47" s="13">
        <v>65</v>
      </c>
      <c r="BN47" s="7">
        <f t="shared" si="18"/>
        <v>0.90517241379310354</v>
      </c>
      <c r="BO47" s="13">
        <v>100</v>
      </c>
      <c r="BP47" s="7">
        <f t="shared" si="18"/>
        <v>0.53846153846153866</v>
      </c>
      <c r="BQ47" s="13">
        <v>83.1</v>
      </c>
      <c r="BR47" s="7">
        <f t="shared" si="18"/>
        <v>-0.16900000000000007</v>
      </c>
      <c r="BS47" s="13">
        <v>60</v>
      </c>
      <c r="BT47" s="7">
        <f t="shared" si="18"/>
        <v>-0.27797833935018046</v>
      </c>
      <c r="BU47" s="13">
        <v>40</v>
      </c>
      <c r="BV47" s="7">
        <f t="shared" si="22"/>
        <v>-0.33333333333333343</v>
      </c>
      <c r="BW47" s="17">
        <v>37.916666666666664</v>
      </c>
      <c r="BX47" s="7">
        <f t="shared" si="22"/>
        <v>-5.2083333333333426E-2</v>
      </c>
      <c r="BY47" s="16">
        <f t="shared" si="25"/>
        <v>-0.52604166666666674</v>
      </c>
    </row>
    <row r="48" spans="1:77" x14ac:dyDescent="0.25">
      <c r="A48" s="5" t="s">
        <v>193</v>
      </c>
      <c r="B48" s="5" t="s">
        <v>194</v>
      </c>
      <c r="C48" s="5" t="s">
        <v>4</v>
      </c>
      <c r="D48" s="15" t="s">
        <v>197</v>
      </c>
      <c r="M48" s="11">
        <v>160</v>
      </c>
      <c r="O48" s="11">
        <v>160</v>
      </c>
      <c r="P48" s="7">
        <f t="shared" si="3"/>
        <v>0</v>
      </c>
      <c r="Q48" s="11">
        <v>115</v>
      </c>
      <c r="R48" s="7">
        <f t="shared" si="4"/>
        <v>-0.28125</v>
      </c>
      <c r="S48" s="12">
        <v>55</v>
      </c>
      <c r="T48" s="7">
        <f t="shared" si="5"/>
        <v>-0.52173913043478259</v>
      </c>
      <c r="U48" s="11">
        <v>67.5</v>
      </c>
      <c r="V48" s="7">
        <f t="shared" si="6"/>
        <v>0.22727272727272735</v>
      </c>
      <c r="W48" s="11">
        <v>22</v>
      </c>
      <c r="X48" s="7">
        <f t="shared" si="7"/>
        <v>-0.67407407407407405</v>
      </c>
      <c r="Y48" s="13">
        <v>28.25</v>
      </c>
      <c r="Z48" s="7">
        <f t="shared" si="8"/>
        <v>0.28409090909090906</v>
      </c>
      <c r="AA48" s="13">
        <v>37.5</v>
      </c>
      <c r="AB48" s="7">
        <f t="shared" si="9"/>
        <v>0.32743362831858408</v>
      </c>
      <c r="AC48" s="13">
        <v>40</v>
      </c>
      <c r="AD48" s="7">
        <f t="shared" si="10"/>
        <v>6.6666666666666707E-2</v>
      </c>
      <c r="AE48" s="13">
        <v>198.5</v>
      </c>
      <c r="AF48" s="7">
        <f t="shared" si="11"/>
        <v>3.9625000000000004</v>
      </c>
      <c r="AG48" s="13">
        <v>407.5</v>
      </c>
      <c r="AH48" s="7">
        <f t="shared" si="11"/>
        <v>1.0528967254408061</v>
      </c>
      <c r="AI48" s="13">
        <v>1125</v>
      </c>
      <c r="AJ48" s="7">
        <f t="shared" si="11"/>
        <v>1.7607361963190187</v>
      </c>
      <c r="AK48" s="13">
        <v>450.65789473684208</v>
      </c>
      <c r="AL48" s="7">
        <f t="shared" si="11"/>
        <v>-0.59941520467836251</v>
      </c>
      <c r="AM48" s="13">
        <v>88.269230769230774</v>
      </c>
      <c r="AN48" s="7">
        <f t="shared" si="11"/>
        <v>-0.80413250982594053</v>
      </c>
      <c r="AO48" s="13">
        <v>125.55555555555556</v>
      </c>
      <c r="AP48" s="7">
        <f t="shared" si="21"/>
        <v>0.42241587993221968</v>
      </c>
      <c r="AQ48" s="13">
        <v>585.4545454545455</v>
      </c>
      <c r="AR48" s="7">
        <f t="shared" si="12"/>
        <v>3.6629123089300082</v>
      </c>
      <c r="AS48" s="13">
        <v>2845</v>
      </c>
      <c r="AT48" s="7">
        <f t="shared" si="12"/>
        <v>3.8594720496894404</v>
      </c>
      <c r="AU48" s="13">
        <v>2235.3125</v>
      </c>
      <c r="AV48" s="7">
        <f t="shared" si="12"/>
        <v>-0.21430140597539535</v>
      </c>
      <c r="AW48" s="13">
        <v>2634.166666666667</v>
      </c>
      <c r="AX48" s="7">
        <f t="shared" si="12"/>
        <v>0.17843329139288897</v>
      </c>
      <c r="AY48" s="13">
        <v>777.5</v>
      </c>
      <c r="AZ48" s="7">
        <f t="shared" si="13"/>
        <v>-0.70484024043024363</v>
      </c>
      <c r="BA48" s="13">
        <v>271.1764705882353</v>
      </c>
      <c r="BB48" s="7">
        <f t="shared" si="13"/>
        <v>-0.65121997351995464</v>
      </c>
      <c r="BC48" s="13">
        <v>258.61111111111109</v>
      </c>
      <c r="BD48" s="7">
        <f t="shared" si="14"/>
        <v>-4.6336466618462427E-2</v>
      </c>
      <c r="BE48" s="13">
        <v>176.66666666666666</v>
      </c>
      <c r="BF48" s="7">
        <f t="shared" si="15"/>
        <v>-0.31686358754027921</v>
      </c>
      <c r="BG48" s="13">
        <v>101.42857142857143</v>
      </c>
      <c r="BH48" s="7">
        <f t="shared" si="16"/>
        <v>-0.42587601078167109</v>
      </c>
      <c r="BI48" s="13">
        <v>66.727272727272734</v>
      </c>
      <c r="BJ48" s="7">
        <f t="shared" si="17"/>
        <v>-0.34212548015364902</v>
      </c>
      <c r="BK48" s="13">
        <v>68.235294117647058</v>
      </c>
      <c r="BL48" s="7">
        <f t="shared" si="18"/>
        <v>2.2599775605064848E-2</v>
      </c>
      <c r="BM48" s="13">
        <v>130</v>
      </c>
      <c r="BN48" s="7">
        <f t="shared" si="18"/>
        <v>0.90517241379310354</v>
      </c>
      <c r="BO48" s="13">
        <v>200</v>
      </c>
      <c r="BP48" s="7">
        <f t="shared" si="18"/>
        <v>0.53846153846153866</v>
      </c>
      <c r="BQ48" s="13">
        <v>166.2</v>
      </c>
      <c r="BR48" s="7">
        <f t="shared" si="18"/>
        <v>-0.16900000000000007</v>
      </c>
      <c r="BS48" s="13">
        <v>110</v>
      </c>
      <c r="BT48" s="7">
        <f t="shared" si="18"/>
        <v>-0.3381468110709987</v>
      </c>
      <c r="BU48" s="13">
        <v>99</v>
      </c>
      <c r="BV48" s="7">
        <f t="shared" si="22"/>
        <v>-0.1</v>
      </c>
      <c r="BW48" s="17">
        <v>93.84375</v>
      </c>
      <c r="BX48" s="7">
        <f t="shared" si="22"/>
        <v>-5.2083333333333426E-2</v>
      </c>
      <c r="BY48" s="16">
        <f t="shared" si="25"/>
        <v>-0.41347656249999998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pcbs</dc:creator>
  <cp:lastModifiedBy>Aseel Zidan</cp:lastModifiedBy>
  <dcterms:created xsi:type="dcterms:W3CDTF">2023-11-29T11:51:49Z</dcterms:created>
  <dcterms:modified xsi:type="dcterms:W3CDTF">2026-09-13T07:11:35Z</dcterms:modified>
</cp:coreProperties>
</file>